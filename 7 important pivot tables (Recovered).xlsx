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anesh r. gawde\excel ganesh\"/>
    </mc:Choice>
  </mc:AlternateContent>
  <xr:revisionPtr revIDLastSave="0" documentId="13_ncr:1_{F07CD777-F3BD-46AE-A04D-A78279A13A90}" xr6:coauthVersionLast="47" xr6:coauthVersionMax="47" xr10:uidLastSave="{00000000-0000-0000-0000-000000000000}"/>
  <bookViews>
    <workbookView xWindow="-108" yWindow="-108" windowWidth="23256" windowHeight="12456" xr2:uid="{35B61665-BC63-42AF-9D04-538B1609A701}"/>
  </bookViews>
  <sheets>
    <sheet name="Sheet1" sheetId="1" r:id="rId1"/>
    <sheet name="Customer Retention" sheetId="2" r:id="rId2"/>
    <sheet name="Quarterly Performance" sheetId="5" r:id="rId3"/>
    <sheet name="Pareto Analysis" sheetId="6" r:id="rId4"/>
    <sheet name="Target vs Actual" sheetId="7" r:id="rId5"/>
    <sheet name="Profit Analysis" sheetId="8" r:id="rId6"/>
    <sheet name="Product Matrix" sheetId="9" r:id="rId7"/>
    <sheet name="Category Distribution" sheetId="10" r:id="rId8"/>
    <sheet name="Data Table" sheetId="4" r:id="rId9"/>
  </sheets>
  <definedNames>
    <definedName name="ExternalData_1" localSheetId="8" hidden="1">'Data Table'!$A$1:$M$105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32b2ff61-3bcb-4402-8c97-311f799ff986" name="Data" connection="Query - Data"/>
        </x15:modelTables>
        <x15:extLst>
          <ext xmlns:x16="http://schemas.microsoft.com/office/spreadsheetml/2014/11/main" uri="{9835A34E-60A6-4A7C-AAB8-D5F71C897F49}">
            <x16:modelTimeGroupings>
              <x16:modelTimeGrouping tableName="Data" columnName="Order Date" columnId="Order Date"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F785F4-ABE8-4815-8909-33DEED8BE8AC}" keepAlive="1" name="ModelConnection_ExternalData_11" description="Data Model" type="5" refreshedVersion="8" minRefreshableVersion="5" saveData="1">
    <dbPr connection="Data Model Connection" command="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5A300BE3-F138-4B51-8888-B0FF86161D47}" name="Query - Data" description="Connection to the 'Data' query in the workbook." type="100" refreshedVersion="8" minRefreshableVersion="5">
    <extLst>
      <ext xmlns:x15="http://schemas.microsoft.com/office/spreadsheetml/2010/11/main" uri="{DE250136-89BD-433C-8126-D09CA5730AF9}">
        <x15:connection id="965c4ff8-2f74-419e-9ce1-042058529702"/>
      </ext>
    </extLst>
  </connection>
  <connection id="3" xr16:uid="{F5D73F65-68FD-4A31-896F-CC58B10D2A1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<sst xmlns="http://schemas.openxmlformats.org/spreadsheetml/2006/main" count="899" uniqueCount="340">
  <si>
    <t>Order Date,Order ID,Customer Name,City,Product,Category,Units,Revenue (₹),Cost (₹),Target Revenue (₹)</t>
  </si>
  <si>
    <t>02-Jan-2025,ORD101,Rahul Sharma,Mumbai,iPhone 16,Smartphones,2,124900,102000,130000</t>
  </si>
  <si>
    <t>03-Jan-2025,ORD102,Priya Patel,Ahmedabad,Samsung Galaxy S25 Ultra,Smartphones,1,142500,108000,145000</t>
  </si>
  <si>
    <t>05-Jan-2025,ORD103,Arjun Mehta,Bengaluru,MacBook Air M4,Laptops,1,134000,104000,140000</t>
  </si>
  <si>
    <t>15-Jan-2025,ORD104,Karan Shah,Pune,Apple Watch Series 11,Wearables,1,46900,33000,50000</t>
  </si>
  <si>
    <t>20-Jan-2025,ORD105,Sneha Verma,Hyderabad,Dell XPS 14,Laptops,1,109800,87000,120000</t>
  </si>
  <si>
    <t>25-Jan-2025,ORD106,Neha Gupta,Delhi,LG OLED C5 TV,Televisions,1,187900,145000,200000</t>
  </si>
  <si>
    <t>28-Jan-2025,ORD107,Rohan Joshi,Kolkata,AirPods Pro 3,Audio,1,24900,18500,28000</t>
  </si>
  <si>
    <t>30-Jan-2025,ORD108,Amit Kumar,Jaipur,Sony PlayStation 5 Pro,Gaming,1,54900,43000,60000</t>
  </si>
  <si>
    <t>02-Feb-2025,ORD109,Aman Kapoor,Jaipur,Samsung Galaxy Tab S10,Tablets,1,68500,49000,72000</t>
  </si>
  <si>
    <t>05-Feb-2025,ORD110,Siddharth Iyer,Bengaluru,Lenovo ThinkPad X1,Laptops,1,122000,93000,128000</t>
  </si>
  <si>
    <t>11-Feb-2025,ORD111,Harsh Agarwal,Ahmedabad,ASUS Zenbook S16,Laptops,1,111900,89000,120000</t>
  </si>
  <si>
    <t>15-Feb-2025,ORD112,Deepak Bansal,Hyderabad,MacBook Pro M4,Laptops,1,249000,198000,260000</t>
  </si>
  <si>
    <t>20-Feb-2025,ORD113,Pooja Mehta,Chennai,Sony Bravia 8,Televisions,1,219000,165000,240000</t>
  </si>
  <si>
    <t>25-Feb-2025,ORD114,Rajesh Khanna,Pune,HP Spectre X360,Laptops,1,145800,89000,120000</t>
  </si>
  <si>
    <t>28-Feb-2025,ORD115,Ankit Verma,Kolkata,Samsung Galaxy S25,Smartphones,1,119500,97000,125000</t>
  </si>
  <si>
    <t>02-Mar-2025,ORD116,Simran Kaur,Surat,Apple Watch Series 11,Wearables,1,46900,33000,50000</t>
  </si>
  <si>
    <t>05-Mar-2025,ORD117,Raj Malhotra,Delhi,Apple Watch Series 11,Wearables,1,46900,33000,50000</t>
  </si>
  <si>
    <t>10-Mar-2025,ORD118,Divya Nair,Mumbai,ASUS Zenbook S16,Laptops,1,111900,86000,120000</t>
  </si>
  <si>
    <t>14-Mar-2025,ORD119,Kunal Mehta,Hyderabad,Sony PlayStation 5 Pro,Gaming,1,54900,43000,60000</t>
  </si>
  <si>
    <t>18-Mar-2025,ORD120,Tarvi Deshmukh,Pune,HP Spectre X360,Laptops,1,145800,89000,120000</t>
  </si>
  <si>
    <t>22-Mar-2025,ORD121,Nikhil Bhatia,Ahmedabad,iPhone 16 Pro,Smartphones,1,159900,130000,165000</t>
  </si>
  <si>
    <t>25-Mar-2025,ORD122,Somnath Goyal,Kolkata,Samsung Galaxy Tab S10,Tablets,1,68500,49000,72000</t>
  </si>
  <si>
    <t>28-Mar-2025,ORD123,Mohit Agarwal,Chennai,Sony WH-1000XM5,Audio,1,29900,18500,32000</t>
  </si>
  <si>
    <t>30-Mar-2025,ORD124,Aisha Khan,Jaipur,Logitech MX Master 4,Accessories,1,10995,8600,11000</t>
  </si>
  <si>
    <t>03-Apr-2025,ORD125,Arjun Reddy,Bengaluru,Anker Power Bank 20000mAh,Accessories,1,3495,2100,3800</t>
  </si>
  <si>
    <t>05-Apr-2025,ORD126,Neha Bedi,Delhi,Logitech MX Keys,Accessories,1,9995,6200,10500</t>
  </si>
  <si>
    <t>08-Apr-2025,ORD127,Krishna Rao,Mumbai,HP Envy 15,Laptops,1,98000,75000,105000</t>
  </si>
  <si>
    <t>12-Apr-2025,ORD128,Meera Shah,Pune,Samsung Galaxy S25 Ultra,Smartphones,1,142500,108000,145000</t>
  </si>
  <si>
    <t>15-Apr-2025,ORD129,Vivek Jain,Hyderabad,LG OLED C5 TV,Televisions,1,187900,145000,200000</t>
  </si>
  <si>
    <t>18-Apr-2025,ORD130,Ananya Gupta,Kolkata,AirPods Pro 3,Audio,1,24900,18500,28000</t>
  </si>
  <si>
    <t>22-Apr-2025,ORD131,Rajesh Patel,Delhi,MacBook Air M4,Laptops,1,134000,104000,140000</t>
  </si>
  <si>
    <t>25-Apr-2025,ORD132,Sneha Iyer,Chennai,Apple Watch Series 11,Wearables,1,46900,33000,50000</t>
  </si>
  <si>
    <t>28-Apr-2025,ORD133,Harish Nair,Bengaluru,Sony PlayStation 5 Pro,Gaming,1,54900,43000,60000</t>
  </si>
  <si>
    <t>02-May-2025,ORD134,Deepika Mehta,Pune,Dell XPS 14,Laptops,1,109800,87000,120000</t>
  </si>
  <si>
    <t>05-May-2025,ORD135,Ajay Kumar,Ahmedabad,Samsung Galaxy Tab S10,Tablets,1,68500,49000,72000</t>
  </si>
  <si>
    <t>08-May-2025,ORD136,Neha Verma,Hyderabad,ASUS Zenbook S16,Laptops,1,111900,89000,120000</t>
  </si>
  <si>
    <t>12-May-2025,ORD137,Rohit Singh,Jaipur,iPhone 16,Smartphones,2,124900,102000,130000</t>
  </si>
  <si>
    <t>15-May-2025,ORD138,Priya Joshi,Kolkata,MacBook Pro M4,Laptops,1,249000,198000,260000</t>
  </si>
  <si>
    <t>18-May-2025,ORD139,Karan Mehta,Pune,Sony Bravia 8,Televisions,1,219000,165000,240000</t>
  </si>
  <si>
    <t>22-May-2025,ORD140,Sneha Patil,Chennai,HP Spectre X360,Laptops,1,145800,89000,120000</t>
  </si>
  <si>
    <t>25-May-2025,ORD141,Amit Verma,Delhi,Samsung Galaxy S25,Smartphones,1,119500,97000,125000</t>
  </si>
  <si>
    <t>28-May-2025,ORD142,Neha Gupta,Mumbai,Apple Watch Series 11,Wearables,1,46900,33000,50000</t>
  </si>
  <si>
    <t>02-Jun-2025,ORD143,Raj Malhotra,Delhi,Apple Watch Series 11,Wearables,1,46900,33000,50000</t>
  </si>
  <si>
    <t>05-Jun-2025,ORD144,Divya Nair,Mumbai,ASUS Zenbook S16,Laptops,1,111900,86000,120000</t>
  </si>
  <si>
    <t>10-Jun-2025,ORD145,Kunal Mehta,Hyderabad,Sony PlayStation 5 Pro,Gaming,1,54900,43000,60000</t>
  </si>
  <si>
    <t>14-Jun-2025,ORD146,Tarvi Deshmukh,Pune,HP Spectre X360,Laptops,1,145800,89000,120000</t>
  </si>
  <si>
    <t>20-Jun-2025,ORD147,Nikhil Bhatia,Ahmedabad,iPhone 16 Pro,Smartphones,1,159900,130000,165000</t>
  </si>
  <si>
    <t>25-Jun-2025,ORD148,Somnath Goyal,Kolkata,Samsung Galaxy Tab S10,Tablets,1,68500,49000,72000</t>
  </si>
  <si>
    <t>28-Jun-2025,ORD149,Mohit Agarwal,Chennai,Sony WH-1000XM5,Audio,1,29900,18500,32000</t>
  </si>
  <si>
    <t>30-Jun-2025,ORD150,Aisha Khan,Jaipur,Logitech MX Master 4,Accessories,1,10995,8600,11000</t>
  </si>
  <si>
    <t>03-Jul-2025,ORD151,Arjun Reddy,Bengaluru,Anker Power Bank 20000mAh,Accessories,1,3495,2100,3800</t>
  </si>
  <si>
    <t>05-Jul-2025,ORD152,Neha Bedi,Delhi,Logitech MX Keys,Accessories,1,9995,6200,10500</t>
  </si>
  <si>
    <t>08-Jul-2025,ORD153,Krishna Rao,Mumbai,HP Envy 15,Laptops,1,98000,75000,105000</t>
  </si>
  <si>
    <t>12-Jul-2025,ORD154,Meera Shah,Pune,Samsung Galaxy S25 Ultra,Smartphones,1</t>
  </si>
  <si>
    <t>12-Jul-2025,ORD154,Meera Shah,Pune,Samsung Galaxy S25 Ultra,Smartphones,1,142500,108000,145000</t>
  </si>
  <si>
    <t>15-Jul-2025,ORD155,Vivek Jain,Hyderabad,LG OLED C5 TV,Televisions,1,187900,145000,200000</t>
  </si>
  <si>
    <t>18-Jul-2025,ORD156,Ananya Gupta,Kolkata,AirPods Pro 3,Audio,1,24900,18500,28000</t>
  </si>
  <si>
    <t>22-Jul-2025,ORD157,Rajesh Patel,Delhi,MacBook Air M4,Laptops,1,134000,104000,140000</t>
  </si>
  <si>
    <t>25-Jul-2025,ORD158,Sneha Iyer,Chennai,Apple Watch Series 11,Wearables,1,46900,33000,50000</t>
  </si>
  <si>
    <t>28-Jul-2025,ORD159,Harish Nair,Bengaluru,Sony PlayStation 5 Pro,Gaming,1,54900,43000,60000</t>
  </si>
  <si>
    <t>02-Aug-2025,ORD160,Deepika Mehta,Pune,Dell XPS 14,Laptops,1,109800,87000,120000</t>
  </si>
  <si>
    <t>05-Aug-2025,ORD161,Ajay Kumar,Ahmedabad,Samsung Galaxy Tab S10,Tablets,1,68500,49000,72000</t>
  </si>
  <si>
    <t>08-Aug-2025,ORD162,Neha Verma,Hyderabad,ASUS Zenbook S16,Laptops,1,111900,89000,120000</t>
  </si>
  <si>
    <t>12-Aug-2025,ORD163,Rohit Singh,Jaipur,iPhone 16,Smartphones,2,124900,102000,130000</t>
  </si>
  <si>
    <t>15-Aug-2025,ORD164,Priya Joshi,Kolkata,MacBook Pro M4,Laptops,1,249000,198000,260000</t>
  </si>
  <si>
    <t>18-Aug-2025,ORD165,Karan Mehta,Pune,Sony Bravia 8,Televisions,1,219000,165000,240000</t>
  </si>
  <si>
    <t>22-Aug-2025,ORD166,Sneha Patil,Chennai,HP Spectre X360,Laptops,1,145800,89000,120000</t>
  </si>
  <si>
    <t>25-Aug-2025,ORD167,Amit Verma,Delhi,Samsung Galaxy S25,Smartphones,1,119500,97000,125000</t>
  </si>
  <si>
    <t>28-Aug-2025,ORD168,Neha Gupta,Mumbai,Apple Watch Series 11,Wearables,1,46900,33000,50000</t>
  </si>
  <si>
    <t>02-Sep-2025,ORD169,Raj Malhotra,Delhi,Apple Watch Series 11,Wearables,1,46900,33000,50000</t>
  </si>
  <si>
    <t>05-Sep-2025,ORD170,Divya Nair,Mumbai,ASUS Zenbook S16,Laptops,1,111900,86000,120000</t>
  </si>
  <si>
    <t>10-Sep-2025,ORD171,Kunal Mehta,Hyderabad,Sony PlayStation 5 Pro,Gaming,1,54900,43000,60000</t>
  </si>
  <si>
    <t>14-Sep-2025,ORD172,Tarvi Deshmukh,Pune,HP Spectre X360,Laptops,1,145800,89000,120000</t>
  </si>
  <si>
    <t>20-Sep-2025,ORD173,Nikhil Bhatia,Ahmedabad,iPhone 16 Pro,Smartphones,1,159900,130000,165000</t>
  </si>
  <si>
    <t>25-Sep-2025,ORD174,Somnath Goyal,Kolkata,Samsung Galaxy Tab S10,Tablets,1,68500,49000,72000</t>
  </si>
  <si>
    <t>28-Sep-2025,ORD175,Mohit Agarwal,Chennai,Sony WH-1000XM5,Audio,1,29900,18500,32000</t>
  </si>
  <si>
    <t>30-Sep-2025,ORD176,Aisha Khan,Jaipur,Logitech MX Master 4,Accessories,1,10995,8600,11000</t>
  </si>
  <si>
    <t>03-Oct-2025,ORD177,Arjun Reddy,Bengaluru,Anker Power Bank 20000mAh,Accessories,1,3495,2100,3800</t>
  </si>
  <si>
    <t>05-Oct-2025,ORD178,Neha Bedi,Delhi,Logitech MX Keys,Accessories,1,9995,6200,10500</t>
  </si>
  <si>
    <t>08-Oct-2025,ORD179,Krishna Rao,Mumbai,HP Envy 15,Laptops,1,98000,75000,105000</t>
  </si>
  <si>
    <t>12-Oct-2025,ORD180,Meera Shah,Pune,Samsung Galaxy S25 Ultra,Smartphones,1,142500,108000,145000</t>
  </si>
  <si>
    <t>15-Oct-2025,ORD181,Vivek Jain,Hyderabad,LG OLED C5 TV,Televisions,1,187900,145000,200000</t>
  </si>
  <si>
    <t>18-Oct-2025,ORD182,Ananya Gupta,Kolkata,AirPods Pro 3,Audio,1,24900,18500,28000</t>
  </si>
  <si>
    <t>22-Oct-2025,ORD183,Rajesh Patel,Delhi,MacBook Air M4,Laptops,1,134000,104000,140000</t>
  </si>
  <si>
    <t>25-Oct-2025,ORD184,Sneha Iyer,Chennai,Apple Watch Series 11,Wearables,1,46900,33000,50000</t>
  </si>
  <si>
    <t>28-Oct-2025,ORD185,Harish Nair,Bengaluru,Sony PlayStation 5 Pro,Gaming,1,54900,43000,60000</t>
  </si>
  <si>
    <t>02-Nov-2025,ORD186,Deepika Mehta,Pune,Dell XPS 14,Laptops,1,109800,87000,120000</t>
  </si>
  <si>
    <t>05-Nov-2025,ORD187,Ajay Kumar,Ahmedabad,Samsung Galaxy Tab S10,Tablets,1,68500,49000,72000</t>
  </si>
  <si>
    <t>08-Nov-2025,ORD188,Neha Verma,Hyderabad,ASUS Zenbook S16,Laptops,1,111900,89000,120000</t>
  </si>
  <si>
    <t>12-Nov-2025,ORD189,Rohit Singh,Jaipur,iPhone 16,Smartphones,2,124900,102000,130000</t>
  </si>
  <si>
    <t>15-Nov-2025,ORD190,Priya Joshi,Kolkata,MacBook Pro M4,Laptops,1,249000,198000,260000</t>
  </si>
  <si>
    <t>18-Nov-2025,ORD191,Karan Mehta,Pune,Sony Bravia 8,Televisions,1,219000,165000,240000</t>
  </si>
  <si>
    <t>22-Nov-2025,ORD192,Sneha Patil,Chennai,HP Spectre X360,Laptops,1,145800,89000,120000</t>
  </si>
  <si>
    <t>25-Nov-2025,ORD193,Amit Verma,Delhi,Samsung Galaxy S25,Smartphones,1,119500,97000,125000</t>
  </si>
  <si>
    <t>28-Nov-2025,ORD194,Neha Gupta,Mumbai,Apple Watch Series 11,Wearables,1,46900,33000,50000</t>
  </si>
  <si>
    <t>02-Dec-2025,ORD195,Raj Malhotra,Delhi,Apple Watch Series 11,Wearables,1,46900,33000,50000</t>
  </si>
  <si>
    <t>05-Dec-2025,ORD196,Divya Nair,Mumbai,ASUS Zenbook S16,Laptops,1,111900,86000,120000</t>
  </si>
  <si>
    <t>10-Dec-2025,ORD197,Kunal Mehta,Hyderabad,Sony PlayStation 5 Pro,Gaming,1,54900,43000,60000</t>
  </si>
  <si>
    <t>14-Dec-2025,ORD198,Tarvi Deshmukh,Pune,HP Spectre X360,Laptops,1,145800,89000,120000</t>
  </si>
  <si>
    <t>20-Dec-2025,ORD199,Nikhil Bhatia,Ahmedabad,iPhone 16 Pro,Smartphones,1,159900,130000,165000</t>
  </si>
  <si>
    <t>25-Dec-2025,ORD200,Somnath Goyal,Kolkata,Samsung Galaxy Tab S10,Tablets,1,68500,49000,72000</t>
  </si>
  <si>
    <t>28-Dec-2025,ORD201,Mohit Agarwal,Chennai,Sony WH-1000XM5,Audio,1,29900,18500,32000</t>
  </si>
  <si>
    <t>30-Dec-2025,ORD202,Aisha Khan,Jaipur,Logitech MX Master 4,Accessories,1,10995,8600,11000</t>
  </si>
  <si>
    <t>Column1</t>
  </si>
  <si>
    <t>Order Date</t>
  </si>
  <si>
    <t>Order ID</t>
  </si>
  <si>
    <t>Customer Name</t>
  </si>
  <si>
    <t>City</t>
  </si>
  <si>
    <t>Product</t>
  </si>
  <si>
    <t>Category</t>
  </si>
  <si>
    <t>Units</t>
  </si>
  <si>
    <t>Revenue (₹)</t>
  </si>
  <si>
    <t>Cost (₹)</t>
  </si>
  <si>
    <t>Target Revenue (₹)</t>
  </si>
  <si>
    <t>Quarter</t>
  </si>
  <si>
    <t>ORD101</t>
  </si>
  <si>
    <t>Rahul Sharma</t>
  </si>
  <si>
    <t>Mumbai</t>
  </si>
  <si>
    <t>iPhone 16</t>
  </si>
  <si>
    <t>Smartphones</t>
  </si>
  <si>
    <t>ORD102</t>
  </si>
  <si>
    <t>Priya Patel</t>
  </si>
  <si>
    <t>Ahmedabad</t>
  </si>
  <si>
    <t>Samsung Galaxy S25 Ultra</t>
  </si>
  <si>
    <t>ORD103</t>
  </si>
  <si>
    <t>Arjun Mehta</t>
  </si>
  <si>
    <t>Bengaluru</t>
  </si>
  <si>
    <t>MacBook Air M4</t>
  </si>
  <si>
    <t>Laptops</t>
  </si>
  <si>
    <t>ORD104</t>
  </si>
  <si>
    <t>Karan Shah</t>
  </si>
  <si>
    <t>Pune</t>
  </si>
  <si>
    <t>Apple Watch Series 11</t>
  </si>
  <si>
    <t>Wearables</t>
  </si>
  <si>
    <t>ORD105</t>
  </si>
  <si>
    <t>Sneha Verma</t>
  </si>
  <si>
    <t>Hyderabad</t>
  </si>
  <si>
    <t>Dell XPS 14</t>
  </si>
  <si>
    <t>ORD106</t>
  </si>
  <si>
    <t>Neha Gupta</t>
  </si>
  <si>
    <t>Delhi</t>
  </si>
  <si>
    <t>LG OLED C5 TV</t>
  </si>
  <si>
    <t>Televisions</t>
  </si>
  <si>
    <t>ORD107</t>
  </si>
  <si>
    <t>Rohan Joshi</t>
  </si>
  <si>
    <t>Kolkata</t>
  </si>
  <si>
    <t>AirPods Pro 3</t>
  </si>
  <si>
    <t>Audio</t>
  </si>
  <si>
    <t>ORD108</t>
  </si>
  <si>
    <t>Amit Kumar</t>
  </si>
  <si>
    <t>Jaipur</t>
  </si>
  <si>
    <t>Sony PlayStation 5 Pro</t>
  </si>
  <si>
    <t>Gaming</t>
  </si>
  <si>
    <t>ORD109</t>
  </si>
  <si>
    <t>Aman Kapoor</t>
  </si>
  <si>
    <t>Samsung Galaxy Tab S10</t>
  </si>
  <si>
    <t>Tablets</t>
  </si>
  <si>
    <t>ORD110</t>
  </si>
  <si>
    <t>Siddharth Iyer</t>
  </si>
  <si>
    <t>Lenovo ThinkPad X1</t>
  </si>
  <si>
    <t>ORD111</t>
  </si>
  <si>
    <t>Harsh Agarwal</t>
  </si>
  <si>
    <t>ASUS Zenbook S16</t>
  </si>
  <si>
    <t>ORD112</t>
  </si>
  <si>
    <t>Deepak Bansal</t>
  </si>
  <si>
    <t>MacBook Pro M4</t>
  </si>
  <si>
    <t>ORD113</t>
  </si>
  <si>
    <t>Pooja Mehta</t>
  </si>
  <si>
    <t>Chennai</t>
  </si>
  <si>
    <t>Sony Bravia 8</t>
  </si>
  <si>
    <t>ORD114</t>
  </si>
  <si>
    <t>Rajesh Khanna</t>
  </si>
  <si>
    <t>HP Spectre X360</t>
  </si>
  <si>
    <t>ORD115</t>
  </si>
  <si>
    <t>Ankit Verma</t>
  </si>
  <si>
    <t>Samsung Galaxy S25</t>
  </si>
  <si>
    <t>ORD116</t>
  </si>
  <si>
    <t>Simran Kaur</t>
  </si>
  <si>
    <t>Surat</t>
  </si>
  <si>
    <t>ORD117</t>
  </si>
  <si>
    <t>Raj Malhotra</t>
  </si>
  <si>
    <t>ORD118</t>
  </si>
  <si>
    <t>Divya Nair</t>
  </si>
  <si>
    <t>ORD119</t>
  </si>
  <si>
    <t>Kunal Mehta</t>
  </si>
  <si>
    <t>ORD120</t>
  </si>
  <si>
    <t>Tarvi Deshmukh</t>
  </si>
  <si>
    <t>ORD121</t>
  </si>
  <si>
    <t>Nikhil Bhatia</t>
  </si>
  <si>
    <t>iPhone 16 Pro</t>
  </si>
  <si>
    <t>ORD122</t>
  </si>
  <si>
    <t>Somnath Goyal</t>
  </si>
  <si>
    <t>ORD123</t>
  </si>
  <si>
    <t>Mohit Agarwal</t>
  </si>
  <si>
    <t>Sony WH-1000XM5</t>
  </si>
  <si>
    <t>ORD124</t>
  </si>
  <si>
    <t>Aisha Khan</t>
  </si>
  <si>
    <t>Logitech MX Master 4</t>
  </si>
  <si>
    <t>Accessories</t>
  </si>
  <si>
    <t>ORD125</t>
  </si>
  <si>
    <t>Arjun Reddy</t>
  </si>
  <si>
    <t>Anker Power Bank 20000mAh</t>
  </si>
  <si>
    <t>ORD126</t>
  </si>
  <si>
    <t>Neha Bedi</t>
  </si>
  <si>
    <t>Logitech MX Keys</t>
  </si>
  <si>
    <t>ORD127</t>
  </si>
  <si>
    <t>Krishna Rao</t>
  </si>
  <si>
    <t>HP Envy 15</t>
  </si>
  <si>
    <t>ORD128</t>
  </si>
  <si>
    <t>Meera Shah</t>
  </si>
  <si>
    <t>ORD129</t>
  </si>
  <si>
    <t>Vivek Jain</t>
  </si>
  <si>
    <t>ORD130</t>
  </si>
  <si>
    <t>Ananya Gupta</t>
  </si>
  <si>
    <t>ORD131</t>
  </si>
  <si>
    <t>Rajesh Patel</t>
  </si>
  <si>
    <t>ORD132</t>
  </si>
  <si>
    <t>Sneha Iyer</t>
  </si>
  <si>
    <t>ORD133</t>
  </si>
  <si>
    <t>Harish Nair</t>
  </si>
  <si>
    <t>ORD134</t>
  </si>
  <si>
    <t>Deepika Mehta</t>
  </si>
  <si>
    <t>ORD135</t>
  </si>
  <si>
    <t>Ajay Kumar</t>
  </si>
  <si>
    <t>ORD136</t>
  </si>
  <si>
    <t>Neha Verma</t>
  </si>
  <si>
    <t>ORD137</t>
  </si>
  <si>
    <t>Rohit Singh</t>
  </si>
  <si>
    <t>ORD138</t>
  </si>
  <si>
    <t>Priya Joshi</t>
  </si>
  <si>
    <t>ORD139</t>
  </si>
  <si>
    <t>Karan Mehta</t>
  </si>
  <si>
    <t>ORD140</t>
  </si>
  <si>
    <t>Sneha Patil</t>
  </si>
  <si>
    <t>ORD141</t>
  </si>
  <si>
    <t>Amit Verma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</si>
  <si>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</si>
  <si>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</si>
  <si>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</si>
  <si>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</si>
  <si>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</si>
  <si>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</si>
  <si>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</si>
  <si>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</si>
  <si>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</si>
  <si>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</si>
  <si>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</si>
  <si>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</si>
  <si>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</si>
  <si>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</si>
  <si>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</si>
  <si>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</si>
  <si>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</si>
  <si>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</si>
  <si>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</si>
  <si>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</si>
  <si>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</si>
  <si>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</si>
  <si>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</si>
  <si>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</si>
  <si>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</si>
  <si>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</si>
  <si>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</si>
  <si>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</si>
  <si>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</si>
  <si>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</si>
  <si>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</si>
  <si>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</si>
  <si>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</si>
  <si>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</si>
  <si>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</si>
  <si>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</si>
  <si>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</si>
  <si>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</si>
  <si>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</si>
  <si>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</si>
  <si>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</si>
  <si>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</si>
  <si>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</si>
  <si>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</si>
  <si>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</si>
  <si>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</si>
  <si>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</si>
  <si>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</si>
  <si>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</si>
  <si>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</si>
  <si>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</si>
  <si>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</si>
  <si>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</si>
  <si>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</si>
  <si>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</si>
  <si>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</si>
  <si>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</si>
  <si>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</si>
  <si>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</si>
  <si>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</si>
  <si>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</si>
  <si>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Grand Total</t>
  </si>
  <si>
    <t>Count of Order ID</t>
  </si>
  <si>
    <t>Column Labels</t>
  </si>
  <si>
    <t>Order Date (Month Index)</t>
  </si>
  <si>
    <t>Order Date (Month)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</si>
  <si>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</si>
  <si>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</si>
  <si>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</si>
  <si>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</si>
  <si>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</si>
  <si>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</si>
  <si>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</si>
  <si>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</si>
  <si>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</si>
  <si>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</si>
  <si>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</si>
  <si>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</si>
  <si>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Revenue (₹)</t>
  </si>
  <si>
    <t>Profit</t>
  </si>
  <si>
    <t xml:space="preserve">Target Revenue </t>
  </si>
  <si>
    <t>Order ID of customers</t>
  </si>
  <si>
    <t>Total Revenue (₹)</t>
  </si>
  <si>
    <t>Quarters</t>
  </si>
  <si>
    <t>Pareto analysis find customers driving most of the revenue</t>
  </si>
  <si>
    <t>Customer names</t>
  </si>
  <si>
    <t>% of revenue</t>
  </si>
  <si>
    <t>cum %</t>
  </si>
  <si>
    <t>Target vs Actual are we hitting our targets</t>
  </si>
  <si>
    <t>Customer Names</t>
  </si>
  <si>
    <t>Profit Analysis</t>
  </si>
  <si>
    <t>Sum of Units</t>
  </si>
  <si>
    <t>Products</t>
  </si>
  <si>
    <t>Product protfolio matrix</t>
  </si>
  <si>
    <t>% of share</t>
  </si>
  <si>
    <t>Actual Revenue (₹)</t>
  </si>
  <si>
    <t>Variance (diff)</t>
  </si>
  <si>
    <t>Sum of Profit</t>
  </si>
  <si>
    <t>Average of % of profit</t>
  </si>
  <si>
    <t>Quarterly performance - which quarter performs the best</t>
  </si>
  <si>
    <t>Category distribution</t>
  </si>
  <si>
    <t>Customer retention - Finding customers who keep coming back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</si>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</sst>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vertical="center"/>
    </xf>
  </cellXfs>
  <cellStyles count="1">
    <cellStyle name="Normal" xfId="0" builtinId="0"/>
  </cellStyles>
  <dxfs count="139">
    <dxf>
      <numFmt numFmtId="165" formatCode="&quot;₹&quot;\ #,##0"/>
    </dxf>
    <dxf>
      <numFmt numFmtId="165" formatCode="&quot;₹&quot;\ 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₹&quot;\ #,##0"/>
    </dxf>
    <dxf>
      <numFmt numFmtId="14" formatCode="0.0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₹&quot;\ 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₹&quot;\ #,##0"/>
    </dxf>
    <dxf>
      <numFmt numFmtId="165" formatCode="&quot;₹&quot;\ 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14" formatCode="0.00%"/>
    </dxf>
    <dxf>
      <numFmt numFmtId="165" formatCode="&quot;₹&quot;\ 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65" formatCode="&quot;₹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'Customer Retention'!$B$21:$K$21</c:f>
              <c:strCache>
                <c:ptCount val="10"/>
                <c:pt idx="0">
                  <c:v>Jan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Retention'!$B$21:$L$21</c:f>
              <c:strCache>
                <c:ptCount val="11"/>
                <c:pt idx="0">
                  <c:v>Jan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'Customer Retention'!$B$20:$L$20</c:f>
              <c:numCache>
                <c:formatCode>General</c:formatCode>
                <c:ptCount val="11"/>
                <c:pt idx="0">
                  <c:v>1</c:v>
                </c:pt>
                <c:pt idx="1">
                  <c:v>8</c:v>
                </c:pt>
                <c:pt idx="2">
                  <c:v>2</c:v>
                </c:pt>
                <c:pt idx="3">
                  <c:v>1</c:v>
                </c:pt>
                <c:pt idx="4">
                  <c:v>8</c:v>
                </c:pt>
                <c:pt idx="5">
                  <c:v>4</c:v>
                </c:pt>
                <c:pt idx="6">
                  <c:v>1</c:v>
                </c:pt>
                <c:pt idx="7">
                  <c:v>8</c:v>
                </c:pt>
                <c:pt idx="8">
                  <c:v>2</c:v>
                </c:pt>
                <c:pt idx="9">
                  <c:v>1</c:v>
                </c:pt>
                <c:pt idx="1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3E-46BB-993B-3C5B79B9696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0998912"/>
        <c:axId val="1336974480"/>
      </c:lineChart>
      <c:catAx>
        <c:axId val="134099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974480"/>
        <c:crosses val="autoZero"/>
        <c:auto val="1"/>
        <c:lblAlgn val="ctr"/>
        <c:lblOffset val="100"/>
        <c:noMultiLvlLbl val="0"/>
      </c:catAx>
      <c:valAx>
        <c:axId val="133697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99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 important pivot tables (Recovered).xlsx]Quarterly Performance!PivotTable3</c:name>
    <c:fmtId val="12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rgbClr val="0070C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2.6990553306342802E-2"/>
            </c:manualLayout>
          </c:layout>
          <c:numFmt formatCode="&quot;₹&quot;#,##0.0,&quot;L&quot;" sourceLinked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4847037210518943E-17"/>
              <c:y val="-4.0485829959514191E-2"/>
            </c:manualLayout>
          </c:layout>
          <c:numFmt formatCode="&quot;₹&quot;#,##0.0,&quot;L&quot;" sourceLinked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6196954972464879E-3"/>
              <c:y val="-4.9482681061628432E-2"/>
            </c:manualLayout>
          </c:layout>
          <c:numFmt formatCode="&quot;₹&quot;#,##0.0,&quot;L&quot;" sourceLinked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6196954972465176E-3"/>
              <c:y val="-3.148897885739993E-2"/>
            </c:manualLayout>
          </c:layout>
          <c:numFmt formatCode="&quot;₹&quot;#,##0.0,&quot;L&quot;" sourceLinked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6.4787819889861303E-3"/>
              <c:y val="4.9482681061628349E-2"/>
            </c:manualLayout>
          </c:layout>
          <c:spPr>
            <a:solidFill>
              <a:srgbClr val="0070C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1056041464204731E-2"/>
              <c:y val="5.3981106612685563E-2"/>
            </c:manualLayout>
          </c:layout>
          <c:spPr>
            <a:solidFill>
              <a:srgbClr val="0070C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5915127955944223E-2"/>
              <c:y val="6.7476383265856948E-2"/>
            </c:manualLayout>
          </c:layout>
          <c:spPr>
            <a:solidFill>
              <a:srgbClr val="0070C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0774214447683954E-2"/>
              <c:y val="5.398110661268548E-2"/>
            </c:manualLayout>
          </c:layout>
          <c:spPr>
            <a:solidFill>
              <a:srgbClr val="0070C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'Quarterly Performance'!$F$5</c:f>
              <c:strCache>
                <c:ptCount val="1"/>
                <c:pt idx="0">
                  <c:v>Total Revenue (₹)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B055-4241-8783-7465C753D3F4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055-4241-8783-7465C753D3F4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055-4241-8783-7465C753D3F4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055-4241-8783-7465C753D3F4}"/>
              </c:ext>
            </c:extLst>
          </c:dPt>
          <c:dLbls>
            <c:dLbl>
              <c:idx val="0"/>
              <c:layout>
                <c:manualLayout>
                  <c:x val="-1.4847037210518943E-17"/>
                  <c:y val="-4.0485829959514191E-2"/>
                </c:manualLayout>
              </c:layout>
              <c:numFmt formatCode="&quot;₹&quot;#,##0.0,&quot;L&quot;" sourceLinked="0"/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055-4241-8783-7465C753D3F4}"/>
                </c:ext>
              </c:extLst>
            </c:dLbl>
            <c:dLbl>
              <c:idx val="1"/>
              <c:layout>
                <c:manualLayout>
                  <c:x val="1.6196954972464879E-3"/>
                  <c:y val="-4.9482681061628432E-2"/>
                </c:manualLayout>
              </c:layout>
              <c:numFmt formatCode="&quot;₹&quot;#,##0.0,&quot;L&quot;" sourceLinked="0"/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055-4241-8783-7465C753D3F4}"/>
                </c:ext>
              </c:extLst>
            </c:dLbl>
            <c:dLbl>
              <c:idx val="2"/>
              <c:layout>
                <c:manualLayout>
                  <c:x val="0"/>
                  <c:y val="-2.6990553306342802E-2"/>
                </c:manualLayout>
              </c:layout>
              <c:numFmt formatCode="&quot;₹&quot;#,##0.0,&quot;L&quot;" sourceLinked="0"/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055-4241-8783-7465C753D3F4}"/>
                </c:ext>
              </c:extLst>
            </c:dLbl>
            <c:dLbl>
              <c:idx val="3"/>
              <c:layout>
                <c:manualLayout>
                  <c:x val="1.6196954972465176E-3"/>
                  <c:y val="-3.148897885739993E-2"/>
                </c:manualLayout>
              </c:layout>
              <c:numFmt formatCode="&quot;₹&quot;#,##0.0,&quot;L&quot;" sourceLinked="0"/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055-4241-8783-7465C753D3F4}"/>
                </c:ext>
              </c:extLst>
            </c:dLbl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'Quarterly Performance'!$E$6:$E$10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'Quarterly Performance'!$F$6:$F$10</c:f>
              <c:numCache>
                <c:formatCode>"₹"\ #,##0.00</c:formatCode>
                <c:ptCount val="4"/>
                <c:pt idx="0">
                  <c:v>2537195</c:v>
                </c:pt>
                <c:pt idx="1">
                  <c:v>2526685</c:v>
                </c:pt>
                <c:pt idx="2">
                  <c:v>2624685</c:v>
                </c:pt>
                <c:pt idx="3">
                  <c:v>2526685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5-4241-8783-7465C753D3F4}"/>
            </c:ext>
          </c:extLst>
        </c:ser>
        <c:ser>
          <c:idx val="1"/>
          <c:order val="1"/>
          <c:tx>
            <c:strRef>
              <c:f>'Quarterly Performance'!$G$5</c:f>
              <c:strCache>
                <c:ptCount val="1"/>
                <c:pt idx="0">
                  <c:v>Order ID of customers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'Quarterly Performance'!$E$6:$E$10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'Quarterly Performance'!$G$6:$G$10</c:f>
              <c:numCache>
                <c:formatCode>General</c:formatCode>
                <c:ptCount val="4"/>
                <c:pt idx="0">
                  <c:v>24</c:v>
                </c:pt>
                <c:pt idx="1">
                  <c:v>26</c:v>
                </c:pt>
                <c:pt idx="2">
                  <c:v>28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55-4241-8783-7465C753D3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40954832"/>
        <c:axId val="1336977840"/>
      </c:barChart>
      <c:lineChart>
        <c:grouping val="standard"/>
        <c:varyColors val="0"/>
        <c:ser>
          <c:idx val="2"/>
          <c:order val="2"/>
          <c:tx>
            <c:strRef>
              <c:f>'Quarterly Performance'!$H$5</c:f>
              <c:strCache>
                <c:ptCount val="1"/>
                <c:pt idx="0">
                  <c:v>Target Revenue 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'Quarterly Performance'!$E$6:$E$10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'Quarterly Performance'!$H$6:$H$10</c:f>
              <c:numCache>
                <c:formatCode>"₹"\ #,##0.00</c:formatCode>
                <c:ptCount val="4"/>
                <c:pt idx="0">
                  <c:v>2618000</c:v>
                </c:pt>
                <c:pt idx="1">
                  <c:v>2609300</c:v>
                </c:pt>
                <c:pt idx="2">
                  <c:v>2714300</c:v>
                </c:pt>
                <c:pt idx="3">
                  <c:v>2609300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55-4241-8783-7465C753D3F4}"/>
            </c:ext>
          </c:extLst>
        </c:ser>
        <c:ser>
          <c:idx val="3"/>
          <c:order val="3"/>
          <c:tx>
            <c:strRef>
              <c:f>'Quarterly Performance'!$I$5</c:f>
              <c:strCache>
                <c:ptCount val="1"/>
                <c:pt idx="0">
                  <c:v>Profit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4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055-4241-8783-7465C753D3F4}"/>
              </c:ext>
            </c:extLst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4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B055-4241-8783-7465C753D3F4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4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B055-4241-8783-7465C753D3F4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4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055-4241-8783-7465C753D3F4}"/>
              </c:ext>
            </c:extLst>
          </c:dPt>
          <c:dLbls>
            <c:dLbl>
              <c:idx val="0"/>
              <c:layout>
                <c:manualLayout>
                  <c:x val="-2.1056041464204731E-2"/>
                  <c:y val="5.39811066126855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055-4241-8783-7465C753D3F4}"/>
                </c:ext>
              </c:extLst>
            </c:dLbl>
            <c:dLbl>
              <c:idx val="1"/>
              <c:layout>
                <c:manualLayout>
                  <c:x val="-6.4787819889861303E-3"/>
                  <c:y val="4.94826810616283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055-4241-8783-7465C753D3F4}"/>
                </c:ext>
              </c:extLst>
            </c:dLbl>
            <c:dLbl>
              <c:idx val="2"/>
              <c:layout>
                <c:manualLayout>
                  <c:x val="-2.5915127955944223E-2"/>
                  <c:y val="6.7476383265856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055-4241-8783-7465C753D3F4}"/>
                </c:ext>
              </c:extLst>
            </c:dLbl>
            <c:dLbl>
              <c:idx val="3"/>
              <c:layout>
                <c:manualLayout>
                  <c:x val="-3.0774214447683954E-2"/>
                  <c:y val="5.3981106612685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055-4241-8783-7465C753D3F4}"/>
                </c:ext>
              </c:extLst>
            </c:dLbl>
            <c:spPr>
              <a:solidFill>
                <a:srgbClr val="0070C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'Quarterly Performance'!$E$6:$E$10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'Quarterly Performance'!$I$6:$I$10</c:f>
              <c:numCache>
                <c:formatCode>"₹"\ #,##0.00</c:formatCode>
                <c:ptCount val="4"/>
                <c:pt idx="0">
                  <c:v>1910600</c:v>
                </c:pt>
                <c:pt idx="1">
                  <c:v>1900900</c:v>
                </c:pt>
                <c:pt idx="2">
                  <c:v>1975900</c:v>
                </c:pt>
                <c:pt idx="3">
                  <c:v>1900900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55-4241-8783-7465C753D3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40965504"/>
        <c:axId val="1336986960"/>
      </c:lineChart>
      <c:catAx>
        <c:axId val="134095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977840"/>
        <c:crosses val="autoZero"/>
        <c:auto val="1"/>
        <c:lblAlgn val="ctr"/>
        <c:lblOffset val="100"/>
        <c:noMultiLvlLbl val="0"/>
      </c:catAx>
      <c:valAx>
        <c:axId val="133697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954832"/>
        <c:crosses val="autoZero"/>
        <c:crossBetween val="between"/>
      </c:valAx>
      <c:valAx>
        <c:axId val="1336986960"/>
        <c:scaling>
          <c:orientation val="minMax"/>
        </c:scaling>
        <c:delete val="0"/>
        <c:axPos val="r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965504"/>
        <c:crosses val="max"/>
        <c:crossBetween val="between"/>
      </c:valAx>
      <c:catAx>
        <c:axId val="13409655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69869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 important pivot tables (Recovered).xlsx]Pareto Analysis!PivotTable4</c:name>
    <c:fmtId val="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00B05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6869095816464238E-3"/>
              <c:y val="-6.0396893874029335E-2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6869095816464856E-3"/>
              <c:y val="-0.10353753235547886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'Pareto Analysis'!$B$5</c:f>
              <c:strCache>
                <c:ptCount val="1"/>
                <c:pt idx="0">
                  <c:v>Sum of Revenue (₹)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046-43A4-9577-2FDFB7B73D16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046-43A4-9577-2FDFB7B73D16}"/>
              </c:ext>
            </c:extLst>
          </c:dPt>
          <c:dLbls>
            <c:dLbl>
              <c:idx val="5"/>
              <c:layout>
                <c:manualLayout>
                  <c:x val="-1.6869095816464238E-3"/>
                  <c:y val="-6.0396893874029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46-43A4-9577-2FDFB7B73D16}"/>
                </c:ext>
              </c:extLst>
            </c:dLbl>
            <c:dLbl>
              <c:idx val="6"/>
              <c:layout>
                <c:manualLayout>
                  <c:x val="-1.6869095816464856E-3"/>
                  <c:y val="-0.103537532355478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46-43A4-9577-2FDFB7B73D16}"/>
                </c:ext>
              </c:extLst>
            </c:dLbl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'Pareto Analysis'!$A$6:$A$16</c:f>
              <c:strCache>
                <c:ptCount val="10"/>
                <c:pt idx="0">
                  <c:v>Priya Joshi</c:v>
                </c:pt>
                <c:pt idx="1">
                  <c:v>Karan Mehta</c:v>
                </c:pt>
                <c:pt idx="2">
                  <c:v>Nikhil Bhatia</c:v>
                </c:pt>
                <c:pt idx="3">
                  <c:v>Tarvi Deshmukh</c:v>
                </c:pt>
                <c:pt idx="4">
                  <c:v>Vivek Jain</c:v>
                </c:pt>
                <c:pt idx="5">
                  <c:v>Divya Nair</c:v>
                </c:pt>
                <c:pt idx="6">
                  <c:v>Sneha Patil</c:v>
                </c:pt>
                <c:pt idx="7">
                  <c:v>Meera Shah</c:v>
                </c:pt>
                <c:pt idx="8">
                  <c:v>Rajesh Patel</c:v>
                </c:pt>
                <c:pt idx="9">
                  <c:v>Krishna Rao</c:v>
                </c:pt>
              </c:strCache>
            </c:strRef>
          </c:cat>
          <c:val>
            <c:numRef>
              <c:f>'Pareto Analysis'!$B$6:$B$16</c:f>
              <c:numCache>
                <c:formatCode>"₹"\ #,##0</c:formatCode>
                <c:ptCount val="10"/>
                <c:pt idx="0">
                  <c:v>747000</c:v>
                </c:pt>
                <c:pt idx="1">
                  <c:v>657000</c:v>
                </c:pt>
                <c:pt idx="2">
                  <c:v>639600</c:v>
                </c:pt>
                <c:pt idx="3">
                  <c:v>583200</c:v>
                </c:pt>
                <c:pt idx="4">
                  <c:v>563700</c:v>
                </c:pt>
                <c:pt idx="5">
                  <c:v>447600</c:v>
                </c:pt>
                <c:pt idx="6">
                  <c:v>437400</c:v>
                </c:pt>
                <c:pt idx="7">
                  <c:v>427500</c:v>
                </c:pt>
                <c:pt idx="8">
                  <c:v>402000</c:v>
                </c:pt>
                <c:pt idx="9">
                  <c:v>392000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6-43A4-9577-2FDFB7B73D16}"/>
            </c:ext>
          </c:extLst>
        </c:ser>
        <c:ser>
          <c:idx val="1"/>
          <c:order val="1"/>
          <c:tx>
            <c:strRef>
              <c:f>'Pareto Analysis'!$C$5</c:f>
              <c:strCache>
                <c:ptCount val="1"/>
                <c:pt idx="0">
                  <c:v>% of 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rgbClr val="00B05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'Pareto Analysis'!$A$6:$A$16</c:f>
              <c:strCache>
                <c:ptCount val="10"/>
                <c:pt idx="0">
                  <c:v>Priya Joshi</c:v>
                </c:pt>
                <c:pt idx="1">
                  <c:v>Karan Mehta</c:v>
                </c:pt>
                <c:pt idx="2">
                  <c:v>Nikhil Bhatia</c:v>
                </c:pt>
                <c:pt idx="3">
                  <c:v>Tarvi Deshmukh</c:v>
                </c:pt>
                <c:pt idx="4">
                  <c:v>Vivek Jain</c:v>
                </c:pt>
                <c:pt idx="5">
                  <c:v>Divya Nair</c:v>
                </c:pt>
                <c:pt idx="6">
                  <c:v>Sneha Patil</c:v>
                </c:pt>
                <c:pt idx="7">
                  <c:v>Meera Shah</c:v>
                </c:pt>
                <c:pt idx="8">
                  <c:v>Rajesh Patel</c:v>
                </c:pt>
                <c:pt idx="9">
                  <c:v>Krishna Rao</c:v>
                </c:pt>
              </c:strCache>
            </c:strRef>
          </c:cat>
          <c:val>
            <c:numRef>
              <c:f>'Pareto Analysis'!$C$6:$C$16</c:f>
              <c:numCache>
                <c:formatCode>0.00%</c:formatCode>
                <c:ptCount val="10"/>
                <c:pt idx="0">
                  <c:v>0.14102322069095716</c:v>
                </c:pt>
                <c:pt idx="1">
                  <c:v>0.12403247121011894</c:v>
                </c:pt>
                <c:pt idx="2">
                  <c:v>0.12074759297715688</c:v>
                </c:pt>
                <c:pt idx="3">
                  <c:v>0.1101000566358316</c:v>
                </c:pt>
                <c:pt idx="4">
                  <c:v>0.10641872758165</c:v>
                </c:pt>
                <c:pt idx="5">
                  <c:v>8.4500660751368695E-2</c:v>
                </c:pt>
                <c:pt idx="6">
                  <c:v>8.2575042476873708E-2</c:v>
                </c:pt>
                <c:pt idx="7">
                  <c:v>8.0706060033981494E-2</c:v>
                </c:pt>
                <c:pt idx="8">
                  <c:v>7.5892014347744008E-2</c:v>
                </c:pt>
                <c:pt idx="9">
                  <c:v>7.4004153294317532E-2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46-43A4-9577-2FDFB7B73D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58443535"/>
        <c:axId val="1337031600"/>
      </c:barChart>
      <c:lineChart>
        <c:grouping val="standard"/>
        <c:varyColors val="0"/>
        <c:ser>
          <c:idx val="2"/>
          <c:order val="2"/>
          <c:tx>
            <c:strRef>
              <c:f>'Pareto Analysis'!$D$5</c:f>
              <c:strCache>
                <c:ptCount val="1"/>
                <c:pt idx="0">
                  <c:v>cum %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'Pareto Analysis'!$A$6:$A$16</c:f>
              <c:strCache>
                <c:ptCount val="10"/>
                <c:pt idx="0">
                  <c:v>Priya Joshi</c:v>
                </c:pt>
                <c:pt idx="1">
                  <c:v>Karan Mehta</c:v>
                </c:pt>
                <c:pt idx="2">
                  <c:v>Nikhil Bhatia</c:v>
                </c:pt>
                <c:pt idx="3">
                  <c:v>Tarvi Deshmukh</c:v>
                </c:pt>
                <c:pt idx="4">
                  <c:v>Vivek Jain</c:v>
                </c:pt>
                <c:pt idx="5">
                  <c:v>Divya Nair</c:v>
                </c:pt>
                <c:pt idx="6">
                  <c:v>Sneha Patil</c:v>
                </c:pt>
                <c:pt idx="7">
                  <c:v>Meera Shah</c:v>
                </c:pt>
                <c:pt idx="8">
                  <c:v>Rajesh Patel</c:v>
                </c:pt>
                <c:pt idx="9">
                  <c:v>Krishna Rao</c:v>
                </c:pt>
              </c:strCache>
            </c:strRef>
          </c:cat>
          <c:val>
            <c:numRef>
              <c:f>'Pareto Analysis'!$D$6:$D$16</c:f>
              <c:numCache>
                <c:formatCode>0.00%</c:formatCode>
                <c:ptCount val="10"/>
                <c:pt idx="0">
                  <c:v>0.14102322069095716</c:v>
                </c:pt>
                <c:pt idx="1">
                  <c:v>0.26505569190107608</c:v>
                </c:pt>
                <c:pt idx="2">
                  <c:v>0.38580328487823295</c:v>
                </c:pt>
                <c:pt idx="3">
                  <c:v>0.49590334151406457</c:v>
                </c:pt>
                <c:pt idx="4">
                  <c:v>0.60232206909571451</c:v>
                </c:pt>
                <c:pt idx="5">
                  <c:v>0.68682272984708326</c:v>
                </c:pt>
                <c:pt idx="6">
                  <c:v>0.76939777232395701</c:v>
                </c:pt>
                <c:pt idx="7">
                  <c:v>0.8501038323579384</c:v>
                </c:pt>
                <c:pt idx="8">
                  <c:v>0.92599584670568247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46-43A4-9577-2FDFB7B73D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8435183"/>
        <c:axId val="1337034480"/>
      </c:lineChart>
      <c:catAx>
        <c:axId val="35844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031600"/>
        <c:crosses val="autoZero"/>
        <c:auto val="1"/>
        <c:lblAlgn val="ctr"/>
        <c:lblOffset val="100"/>
        <c:noMultiLvlLbl val="0"/>
      </c:catAx>
      <c:valAx>
        <c:axId val="133703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43535"/>
        <c:crosses val="autoZero"/>
        <c:crossBetween val="between"/>
      </c:valAx>
      <c:valAx>
        <c:axId val="133703448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35183"/>
        <c:crosses val="max"/>
        <c:crossBetween val="between"/>
      </c:valAx>
      <c:catAx>
        <c:axId val="3584351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70344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 important pivot tables (Recovered).xlsx]Target vs Actual!PivotTable5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Target</a:t>
            </a:r>
            <a:r>
              <a:rPr lang="en-IN" baseline="0"/>
              <a:t> vs 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numFmt formatCode="&quot;₹&quot;#,##0.0,&quot;L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numFmt formatCode="&quot;₹&quot;#,##0.0,&quot;L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numFmt formatCode="&quot;₹&quot;#,##0.0,&quot;L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numFmt formatCode="&quot;₹&quot;#,##0.0,&quot;L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txPr>
            <a:bodyPr rot="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layout>
            <c:manualLayout>
              <c:x val="0"/>
              <c:y val="-1.4702400832595802E-2"/>
            </c:manualLayout>
          </c:layout>
          <c:spPr>
            <a:solidFill>
              <a:srgbClr val="FFFF00"/>
            </a:solidFill>
            <a:ln>
              <a:noFill/>
            </a:ln>
            <a:effectLst/>
          </c:spPr>
          <c:txPr>
            <a:bodyPr rot="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dLbl>
          <c:idx val="0"/>
          <c:layout>
            <c:manualLayout>
              <c:x val="4.9960778821664829E-3"/>
              <c:y val="-1.3477045075238068E-17"/>
            </c:manualLayout>
          </c:layout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txPr>
            <a:bodyPr rot="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dLbl>
          <c:idx val="0"/>
          <c:layout>
            <c:manualLayout>
              <c:x val="4.9960778821665193E-3"/>
              <c:y val="0"/>
            </c:manualLayout>
          </c:layout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txPr>
            <a:bodyPr rot="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accent2">
                <a:lumMod val="75000"/>
              </a:schemeClr>
            </a:solidFill>
            <a:round/>
          </a:ln>
          <a:effectLst/>
          <a:sp3d contourW="9525">
            <a:contourClr>
              <a:schemeClr val="accent2">
                <a:lumMod val="75000"/>
              </a:schemeClr>
            </a:contourClr>
          </a:sp3d>
        </c:spPr>
        <c:dLbl>
          <c:idx val="0"/>
          <c:layout>
            <c:manualLayout>
              <c:x val="3.9968623057331787E-3"/>
              <c:y val="-2.6954090150476135E-17"/>
            </c:manualLayout>
          </c:layout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txPr>
            <a:bodyPr rot="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666861754667587"/>
          <c:y val="6.9361226953617114E-2"/>
          <c:w val="0.75491390262634672"/>
          <c:h val="0.7916391931904643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'Target vs Actual'!$C$6</c:f>
              <c:strCache>
                <c:ptCount val="1"/>
                <c:pt idx="0">
                  <c:v>Target Revenue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0"/>
                  <c:y val="-1.47024008325958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A9B-454E-B00B-7F99F83440A8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'Target vs Actual'!$B$7:$B$28</c:f>
              <c:strCache>
                <c:ptCount val="21"/>
                <c:pt idx="0">
                  <c:v>MacBook Pro M4</c:v>
                </c:pt>
                <c:pt idx="1">
                  <c:v>HP Spectre X360</c:v>
                </c:pt>
                <c:pt idx="2">
                  <c:v>Sony Bravia 8</c:v>
                </c:pt>
                <c:pt idx="3">
                  <c:v>ASUS Zenbook S16</c:v>
                </c:pt>
                <c:pt idx="4">
                  <c:v>LG OLED C5 TV</c:v>
                </c:pt>
                <c:pt idx="5">
                  <c:v>iPhone 16 Pro</c:v>
                </c:pt>
                <c:pt idx="6">
                  <c:v>Apple Watch Series 11</c:v>
                </c:pt>
                <c:pt idx="7">
                  <c:v>Samsung Galaxy S25 Ultra</c:v>
                </c:pt>
                <c:pt idx="8">
                  <c:v>Samsung Galaxy Tab S10</c:v>
                </c:pt>
                <c:pt idx="9">
                  <c:v>MacBook Air M4</c:v>
                </c:pt>
                <c:pt idx="10">
                  <c:v>iPhone 16</c:v>
                </c:pt>
                <c:pt idx="11">
                  <c:v>Samsung Galaxy S25</c:v>
                </c:pt>
                <c:pt idx="12">
                  <c:v>Dell XPS 14</c:v>
                </c:pt>
                <c:pt idx="13">
                  <c:v>Sony PlayStation 5 Pro</c:v>
                </c:pt>
                <c:pt idx="14">
                  <c:v>HP Envy 15</c:v>
                </c:pt>
                <c:pt idx="15">
                  <c:v>Lenovo ThinkPad X1</c:v>
                </c:pt>
                <c:pt idx="16">
                  <c:v>Sony WH-1000XM5</c:v>
                </c:pt>
                <c:pt idx="17">
                  <c:v>AirPods Pro 3</c:v>
                </c:pt>
                <c:pt idx="18">
                  <c:v>Logitech MX Master 4</c:v>
                </c:pt>
                <c:pt idx="19">
                  <c:v>Logitech MX Keys</c:v>
                </c:pt>
                <c:pt idx="20">
                  <c:v>Anker Power Bank 20000mAh</c:v>
                </c:pt>
              </c:strCache>
            </c:strRef>
          </c:cat>
          <c:val>
            <c:numRef>
              <c:f>'Target vs Actual'!$C$7:$C$28</c:f>
              <c:numCache>
                <c:formatCode>"₹"\ #,##0</c:formatCode>
                <c:ptCount val="21"/>
                <c:pt idx="0">
                  <c:v>1040000</c:v>
                </c:pt>
                <c:pt idx="1">
                  <c:v>960000</c:v>
                </c:pt>
                <c:pt idx="2">
                  <c:v>960000</c:v>
                </c:pt>
                <c:pt idx="3">
                  <c:v>960000</c:v>
                </c:pt>
                <c:pt idx="4">
                  <c:v>800000</c:v>
                </c:pt>
                <c:pt idx="5">
                  <c:v>660000</c:v>
                </c:pt>
                <c:pt idx="6">
                  <c:v>600000</c:v>
                </c:pt>
                <c:pt idx="7">
                  <c:v>580000</c:v>
                </c:pt>
                <c:pt idx="8">
                  <c:v>576000</c:v>
                </c:pt>
                <c:pt idx="9">
                  <c:v>560000</c:v>
                </c:pt>
                <c:pt idx="10">
                  <c:v>520000</c:v>
                </c:pt>
                <c:pt idx="11">
                  <c:v>500000</c:v>
                </c:pt>
                <c:pt idx="12">
                  <c:v>480000</c:v>
                </c:pt>
                <c:pt idx="13">
                  <c:v>480000</c:v>
                </c:pt>
                <c:pt idx="14">
                  <c:v>420000</c:v>
                </c:pt>
                <c:pt idx="15">
                  <c:v>128000</c:v>
                </c:pt>
                <c:pt idx="16">
                  <c:v>128000</c:v>
                </c:pt>
                <c:pt idx="17">
                  <c:v>112000</c:v>
                </c:pt>
                <c:pt idx="18">
                  <c:v>44000</c:v>
                </c:pt>
                <c:pt idx="19">
                  <c:v>31500</c:v>
                </c:pt>
                <c:pt idx="20">
                  <c:v>11400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6-4A39-85F8-122836D3C0EF}"/>
            </c:ext>
          </c:extLst>
        </c:ser>
        <c:ser>
          <c:idx val="1"/>
          <c:order val="1"/>
          <c:tx>
            <c:strRef>
              <c:f>'Target vs Actual'!$D$6</c:f>
              <c:strCache>
                <c:ptCount val="1"/>
                <c:pt idx="0">
                  <c:v>Actual Revenue (₹)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4.9960778821664829E-3"/>
                  <c:y val="-1.347704507523806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9B-454E-B00B-7F99F83440A8}"/>
                </c:ext>
              </c:extLst>
            </c:dLbl>
            <c:dLbl>
              <c:idx val="2"/>
              <c:layout>
                <c:manualLayout>
                  <c:x val="4.9960778821665193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A9B-454E-B00B-7F99F83440A8}"/>
                </c:ext>
              </c:extLst>
            </c:dLbl>
            <c:dLbl>
              <c:idx val="3"/>
              <c:layout>
                <c:manualLayout>
                  <c:x val="3.9968623057331787E-3"/>
                  <c:y val="-2.6954090150476135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9B-454E-B00B-7F99F83440A8}"/>
                </c:ext>
              </c:extLst>
            </c:dLbl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txPr>
              <a:bodyPr rot="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'Target vs Actual'!$B$7:$B$28</c:f>
              <c:strCache>
                <c:ptCount val="21"/>
                <c:pt idx="0">
                  <c:v>MacBook Pro M4</c:v>
                </c:pt>
                <c:pt idx="1">
                  <c:v>HP Spectre X360</c:v>
                </c:pt>
                <c:pt idx="2">
                  <c:v>Sony Bravia 8</c:v>
                </c:pt>
                <c:pt idx="3">
                  <c:v>ASUS Zenbook S16</c:v>
                </c:pt>
                <c:pt idx="4">
                  <c:v>LG OLED C5 TV</c:v>
                </c:pt>
                <c:pt idx="5">
                  <c:v>iPhone 16 Pro</c:v>
                </c:pt>
                <c:pt idx="6">
                  <c:v>Apple Watch Series 11</c:v>
                </c:pt>
                <c:pt idx="7">
                  <c:v>Samsung Galaxy S25 Ultra</c:v>
                </c:pt>
                <c:pt idx="8">
                  <c:v>Samsung Galaxy Tab S10</c:v>
                </c:pt>
                <c:pt idx="9">
                  <c:v>MacBook Air M4</c:v>
                </c:pt>
                <c:pt idx="10">
                  <c:v>iPhone 16</c:v>
                </c:pt>
                <c:pt idx="11">
                  <c:v>Samsung Galaxy S25</c:v>
                </c:pt>
                <c:pt idx="12">
                  <c:v>Dell XPS 14</c:v>
                </c:pt>
                <c:pt idx="13">
                  <c:v>Sony PlayStation 5 Pro</c:v>
                </c:pt>
                <c:pt idx="14">
                  <c:v>HP Envy 15</c:v>
                </c:pt>
                <c:pt idx="15">
                  <c:v>Lenovo ThinkPad X1</c:v>
                </c:pt>
                <c:pt idx="16">
                  <c:v>Sony WH-1000XM5</c:v>
                </c:pt>
                <c:pt idx="17">
                  <c:v>AirPods Pro 3</c:v>
                </c:pt>
                <c:pt idx="18">
                  <c:v>Logitech MX Master 4</c:v>
                </c:pt>
                <c:pt idx="19">
                  <c:v>Logitech MX Keys</c:v>
                </c:pt>
                <c:pt idx="20">
                  <c:v>Anker Power Bank 20000mAh</c:v>
                </c:pt>
              </c:strCache>
            </c:strRef>
          </c:cat>
          <c:val>
            <c:numRef>
              <c:f>'Target vs Actual'!$D$7:$D$28</c:f>
              <c:numCache>
                <c:formatCode>"₹"\ #,##0</c:formatCode>
                <c:ptCount val="21"/>
                <c:pt idx="0">
                  <c:v>996000</c:v>
                </c:pt>
                <c:pt idx="1">
                  <c:v>1166400</c:v>
                </c:pt>
                <c:pt idx="2">
                  <c:v>876000</c:v>
                </c:pt>
                <c:pt idx="3">
                  <c:v>895200</c:v>
                </c:pt>
                <c:pt idx="4">
                  <c:v>751600</c:v>
                </c:pt>
                <c:pt idx="5">
                  <c:v>639600</c:v>
                </c:pt>
                <c:pt idx="6">
                  <c:v>562800</c:v>
                </c:pt>
                <c:pt idx="7">
                  <c:v>570000</c:v>
                </c:pt>
                <c:pt idx="8">
                  <c:v>548000</c:v>
                </c:pt>
                <c:pt idx="9">
                  <c:v>536000</c:v>
                </c:pt>
                <c:pt idx="10">
                  <c:v>499600</c:v>
                </c:pt>
                <c:pt idx="11">
                  <c:v>478000</c:v>
                </c:pt>
                <c:pt idx="12">
                  <c:v>439200</c:v>
                </c:pt>
                <c:pt idx="13">
                  <c:v>439200</c:v>
                </c:pt>
                <c:pt idx="14">
                  <c:v>392000</c:v>
                </c:pt>
                <c:pt idx="15">
                  <c:v>122000</c:v>
                </c:pt>
                <c:pt idx="16">
                  <c:v>119600</c:v>
                </c:pt>
                <c:pt idx="17">
                  <c:v>99600</c:v>
                </c:pt>
                <c:pt idx="18">
                  <c:v>43980</c:v>
                </c:pt>
                <c:pt idx="19">
                  <c:v>29985</c:v>
                </c:pt>
                <c:pt idx="20">
                  <c:v>10485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96-4A39-85F8-122836D3C0EF}"/>
            </c:ext>
          </c:extLst>
        </c:ser>
        <c:ser>
          <c:idx val="2"/>
          <c:order val="2"/>
          <c:tx>
            <c:strRef>
              <c:f>'Target vs Actual'!$E$6</c:f>
              <c:strCache>
                <c:ptCount val="1"/>
                <c:pt idx="0">
                  <c:v>Variance (diff)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'Target vs Actual'!$B$7:$B$28</c:f>
              <c:strCache>
                <c:ptCount val="21"/>
                <c:pt idx="0">
                  <c:v>MacBook Pro M4</c:v>
                </c:pt>
                <c:pt idx="1">
                  <c:v>HP Spectre X360</c:v>
                </c:pt>
                <c:pt idx="2">
                  <c:v>Sony Bravia 8</c:v>
                </c:pt>
                <c:pt idx="3">
                  <c:v>ASUS Zenbook S16</c:v>
                </c:pt>
                <c:pt idx="4">
                  <c:v>LG OLED C5 TV</c:v>
                </c:pt>
                <c:pt idx="5">
                  <c:v>iPhone 16 Pro</c:v>
                </c:pt>
                <c:pt idx="6">
                  <c:v>Apple Watch Series 11</c:v>
                </c:pt>
                <c:pt idx="7">
                  <c:v>Samsung Galaxy S25 Ultra</c:v>
                </c:pt>
                <c:pt idx="8">
                  <c:v>Samsung Galaxy Tab S10</c:v>
                </c:pt>
                <c:pt idx="9">
                  <c:v>MacBook Air M4</c:v>
                </c:pt>
                <c:pt idx="10">
                  <c:v>iPhone 16</c:v>
                </c:pt>
                <c:pt idx="11">
                  <c:v>Samsung Galaxy S25</c:v>
                </c:pt>
                <c:pt idx="12">
                  <c:v>Dell XPS 14</c:v>
                </c:pt>
                <c:pt idx="13">
                  <c:v>Sony PlayStation 5 Pro</c:v>
                </c:pt>
                <c:pt idx="14">
                  <c:v>HP Envy 15</c:v>
                </c:pt>
                <c:pt idx="15">
                  <c:v>Lenovo ThinkPad X1</c:v>
                </c:pt>
                <c:pt idx="16">
                  <c:v>Sony WH-1000XM5</c:v>
                </c:pt>
                <c:pt idx="17">
                  <c:v>AirPods Pro 3</c:v>
                </c:pt>
                <c:pt idx="18">
                  <c:v>Logitech MX Master 4</c:v>
                </c:pt>
                <c:pt idx="19">
                  <c:v>Logitech MX Keys</c:v>
                </c:pt>
                <c:pt idx="20">
                  <c:v>Anker Power Bank 20000mAh</c:v>
                </c:pt>
              </c:strCache>
            </c:strRef>
          </c:cat>
          <c:val>
            <c:numRef>
              <c:f>'Target vs Actual'!$E$7:$E$28</c:f>
              <c:numCache>
                <c:formatCode>"₹"\ #,##0</c:formatCode>
                <c:ptCount val="21"/>
                <c:pt idx="0">
                  <c:v>-44000</c:v>
                </c:pt>
                <c:pt idx="1">
                  <c:v>206400</c:v>
                </c:pt>
                <c:pt idx="2">
                  <c:v>-84000</c:v>
                </c:pt>
                <c:pt idx="3">
                  <c:v>-64800</c:v>
                </c:pt>
                <c:pt idx="4">
                  <c:v>-48400</c:v>
                </c:pt>
                <c:pt idx="5">
                  <c:v>-20400</c:v>
                </c:pt>
                <c:pt idx="6">
                  <c:v>-37200</c:v>
                </c:pt>
                <c:pt idx="7">
                  <c:v>-10000</c:v>
                </c:pt>
                <c:pt idx="8">
                  <c:v>-28000</c:v>
                </c:pt>
                <c:pt idx="9">
                  <c:v>-24000</c:v>
                </c:pt>
                <c:pt idx="10">
                  <c:v>-20400</c:v>
                </c:pt>
                <c:pt idx="11">
                  <c:v>-22000</c:v>
                </c:pt>
                <c:pt idx="12">
                  <c:v>-40800</c:v>
                </c:pt>
                <c:pt idx="13">
                  <c:v>-40800</c:v>
                </c:pt>
                <c:pt idx="14">
                  <c:v>-28000</c:v>
                </c:pt>
                <c:pt idx="15">
                  <c:v>-6000</c:v>
                </c:pt>
                <c:pt idx="16">
                  <c:v>-8400</c:v>
                </c:pt>
                <c:pt idx="17">
                  <c:v>-12400</c:v>
                </c:pt>
                <c:pt idx="18">
                  <c:v>-20</c:v>
                </c:pt>
                <c:pt idx="19">
                  <c:v>-1515</c:v>
                </c:pt>
                <c:pt idx="20">
                  <c:v>-915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96-4A39-85F8-122836D3C0E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74110367"/>
        <c:axId val="1637109935"/>
        <c:axId val="0"/>
      </c:bar3DChart>
      <c:catAx>
        <c:axId val="74110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109935"/>
        <c:crosses val="autoZero"/>
        <c:auto val="1"/>
        <c:lblAlgn val="ctr"/>
        <c:lblOffset val="100"/>
        <c:noMultiLvlLbl val="0"/>
      </c:catAx>
      <c:valAx>
        <c:axId val="163710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1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 important pivot tables (Recovered).xlsx]Profit Analysis!PivotTable6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1730743962143449E-2"/>
              <c:y val="-7.4938091253057863E-3"/>
            </c:manualLayout>
          </c:layout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1.20 Lakhs</a:t>
                </a:r>
              </a:p>
            </c:rich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02070174190307E-3"/>
              <c:y val="-3.746904562652891E-3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4.2012771660144329E-3"/>
              <c:y val="-5.6203568439793369E-3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024878065787307E-4"/>
              <c:y val="-7.493809125305782E-3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126833183958237E-2"/>
              <c:y val="-5.6203568439793707E-3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8434914461218324E-2"/>
              <c:y val="-7.493809125305782E-3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0050469082491341"/>
              <c:y val="1.8734522813264455E-3"/>
            </c:manualLayout>
          </c:layout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0.30 Lakhs</a:t>
                </a:r>
              </a:p>
            </c:rich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4.4959041326271189E-2"/>
              <c:y val="-5.6203568439793369E-3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1770819646161031"/>
              <c:y val="9.3672614066320908E-3"/>
            </c:manualLayout>
          </c:layout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0.10 Lakhs</a:t>
                </a:r>
              </a:p>
            </c:rich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1.00 Lakhs</a:t>
                </a:r>
              </a:p>
            </c:rich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5.63 Lakhs</a:t>
                </a:r>
              </a:p>
            </c:rich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8.95 Lakhs</a:t>
                </a:r>
              </a:p>
            </c:rich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4.39 Lakhs</a:t>
                </a:r>
              </a:p>
            </c:rich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3.92 Lakhs</a:t>
                </a:r>
              </a:p>
            </c:rich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11.66 Lakhs</a:t>
                </a:r>
              </a:p>
            </c:rich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5.00 Lakhs</a:t>
                </a:r>
              </a:p>
            </c:rich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6.40 Lakhs</a:t>
                </a:r>
              </a:p>
            </c:rich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1.22 Lakhs</a:t>
                </a:r>
              </a:p>
            </c:rich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7.52 Lakhs</a:t>
                </a:r>
              </a:p>
            </c:rich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4758796940955757"/>
              <c:y val="7.493809125305782E-3"/>
            </c:manualLayout>
          </c:layout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0.44 Lakhs</a:t>
                </a:r>
              </a:p>
            </c:rich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5.36 Lakhs</a:t>
                </a:r>
              </a:p>
            </c:rich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9.96 Lakhs</a:t>
                </a:r>
              </a:p>
            </c:rich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4.78 Lakhs</a:t>
                </a:r>
              </a:p>
            </c:rich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9919848631964828E-2"/>
              <c:y val="0"/>
            </c:manualLayout>
          </c:layout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5.70 Lakhs</a:t>
                </a:r>
              </a:p>
            </c:rich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5.48 Lakhs</a:t>
                </a:r>
              </a:p>
            </c:rich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8.76 Lakhs</a:t>
                </a:r>
              </a:p>
            </c:rich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4.39 Lakhs</a:t>
                </a:r>
              </a:p>
            </c:rich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193028537785435E-3"/>
              <c:y val="-3.746904562652891E-3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4896935458906185E-2"/>
              <c:y val="3.7469045626528225E-3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3075274569874931E-2"/>
              <c:y val="0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9377285141368541E-2"/>
              <c:y val="-3.746904562652891E-3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6.4054077041903898E-2"/>
              <c:y val="0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0422336438543524E-2"/>
              <c:y val="-5.6203568439794054E-3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4813123800861083E-2"/>
              <c:y val="-9.3672614066322279E-3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5.7948650565715855E-4"/>
              <c:y val="-9.3672614066322279E-3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0423041547000826E-3"/>
              <c:y val="-5.6203568439793369E-3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3103578721295439E-2"/>
              <c:y val="3.746904562652891E-3"/>
            </c:manualLayout>
          </c:layout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429455609929149"/>
          <c:y val="5.2691066686197774E-2"/>
          <c:w val="0.71061464853195222"/>
          <c:h val="0.8780771765231474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'Profit Analysis'!$C$5</c:f>
              <c:strCache>
                <c:ptCount val="1"/>
                <c:pt idx="0">
                  <c:v>Sum of Revenue (₹)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0C48-4B4F-9ACA-BCE89AD89E5B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0C48-4B4F-9ACA-BCE89AD89E5B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0C48-4B4F-9ACA-BCE89AD89E5B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C48-4B4F-9ACA-BCE89AD89E5B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0C48-4B4F-9ACA-BCE89AD89E5B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C48-4B4F-9ACA-BCE89AD89E5B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0C48-4B4F-9ACA-BCE89AD89E5B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0C48-4B4F-9ACA-BCE89AD89E5B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0C48-4B4F-9ACA-BCE89AD89E5B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0C48-4B4F-9ACA-BCE89AD89E5B}"/>
              </c:ext>
            </c:extLst>
          </c:dPt>
          <c:dPt>
            <c:idx val="1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0C48-4B4F-9ACA-BCE89AD89E5B}"/>
              </c:ext>
            </c:extLst>
          </c:dPt>
          <c:dPt>
            <c:idx val="1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0C48-4B4F-9ACA-BCE89AD89E5B}"/>
              </c:ext>
            </c:extLst>
          </c:dPt>
          <c:dPt>
            <c:idx val="1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0C48-4B4F-9ACA-BCE89AD89E5B}"/>
              </c:ext>
            </c:extLst>
          </c:dPt>
          <c:dPt>
            <c:idx val="13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0C48-4B4F-9ACA-BCE89AD89E5B}"/>
              </c:ext>
            </c:extLst>
          </c:dPt>
          <c:dPt>
            <c:idx val="14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0C48-4B4F-9ACA-BCE89AD89E5B}"/>
              </c:ext>
            </c:extLst>
          </c:dPt>
          <c:dPt>
            <c:idx val="15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0C48-4B4F-9ACA-BCE89AD89E5B}"/>
              </c:ext>
            </c:extLst>
          </c:dPt>
          <c:dPt>
            <c:idx val="16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0C48-4B4F-9ACA-BCE89AD89E5B}"/>
              </c:ext>
            </c:extLst>
          </c:dPt>
          <c:dPt>
            <c:idx val="17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0C48-4B4F-9ACA-BCE89AD89E5B}"/>
              </c:ext>
            </c:extLst>
          </c:dPt>
          <c:dPt>
            <c:idx val="18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0C48-4B4F-9ACA-BCE89AD89E5B}"/>
              </c:ext>
            </c:extLst>
          </c:dPt>
          <c:dPt>
            <c:idx val="19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0C48-4B4F-9ACA-BCE89AD89E5B}"/>
              </c:ext>
            </c:extLst>
          </c:dPt>
          <c:dPt>
            <c:idx val="2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C48-4B4F-9ACA-BCE89AD89E5B}"/>
              </c:ext>
            </c:extLst>
          </c:dPt>
          <c:dLbls>
            <c:dLbl>
              <c:idx val="0"/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1.00 Lakhs</a:t>
                    </a:r>
                  </a:p>
                </c:rich>
              </c:tx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0C48-4B4F-9ACA-BCE89AD89E5B}"/>
                </c:ext>
              </c:extLst>
            </c:dLbl>
            <c:dLbl>
              <c:idx val="1"/>
              <c:layout>
                <c:manualLayout>
                  <c:x val="0.11770819646161031"/>
                  <c:y val="9.3672614066320908E-3"/>
                </c:manualLayout>
              </c:layout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0.10 Lakhs</a:t>
                    </a:r>
                  </a:p>
                </c:rich>
              </c:tx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0C48-4B4F-9ACA-BCE89AD89E5B}"/>
                </c:ext>
              </c:extLst>
            </c:dLbl>
            <c:dLbl>
              <c:idx val="2"/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5.63 Lakhs</a:t>
                    </a:r>
                  </a:p>
                </c:rich>
              </c:tx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0C48-4B4F-9ACA-BCE89AD89E5B}"/>
                </c:ext>
              </c:extLst>
            </c:dLbl>
            <c:dLbl>
              <c:idx val="3"/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8.95 Lakhs</a:t>
                    </a:r>
                  </a:p>
                </c:rich>
              </c:tx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0C48-4B4F-9ACA-BCE89AD89E5B}"/>
                </c:ext>
              </c:extLst>
            </c:dLbl>
            <c:dLbl>
              <c:idx val="4"/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4.39 Lakhs</a:t>
                    </a:r>
                  </a:p>
                </c:rich>
              </c:tx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0C48-4B4F-9ACA-BCE89AD89E5B}"/>
                </c:ext>
              </c:extLst>
            </c:dLbl>
            <c:dLbl>
              <c:idx val="5"/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3.92 Lakhs</a:t>
                    </a:r>
                  </a:p>
                </c:rich>
              </c:tx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0C48-4B4F-9ACA-BCE89AD89E5B}"/>
                </c:ext>
              </c:extLst>
            </c:dLbl>
            <c:dLbl>
              <c:idx val="6"/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11.66 Lakhs</a:t>
                    </a:r>
                  </a:p>
                </c:rich>
              </c:tx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0C48-4B4F-9ACA-BCE89AD89E5B}"/>
                </c:ext>
              </c:extLst>
            </c:dLbl>
            <c:dLbl>
              <c:idx val="7"/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5.00 Lakhs</a:t>
                    </a:r>
                  </a:p>
                </c:rich>
              </c:tx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0C48-4B4F-9ACA-BCE89AD89E5B}"/>
                </c:ext>
              </c:extLst>
            </c:dLbl>
            <c:dLbl>
              <c:idx val="8"/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6.40 Lakhs</a:t>
                    </a:r>
                  </a:p>
                </c:rich>
              </c:tx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0C48-4B4F-9ACA-BCE89AD89E5B}"/>
                </c:ext>
              </c:extLst>
            </c:dLbl>
            <c:dLbl>
              <c:idx val="9"/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1.22 Lakhs</a:t>
                    </a:r>
                  </a:p>
                </c:rich>
              </c:tx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0C48-4B4F-9ACA-BCE89AD89E5B}"/>
                </c:ext>
              </c:extLst>
            </c:dLbl>
            <c:dLbl>
              <c:idx val="10"/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7.52 Lakhs</a:t>
                    </a:r>
                  </a:p>
                </c:rich>
              </c:tx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0C48-4B4F-9ACA-BCE89AD89E5B}"/>
                </c:ext>
              </c:extLst>
            </c:dLbl>
            <c:dLbl>
              <c:idx val="11"/>
              <c:layout>
                <c:manualLayout>
                  <c:x val="0.10050469082491341"/>
                  <c:y val="1.8734522813264455E-3"/>
                </c:manualLayout>
              </c:layout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0.30 Lakhs</a:t>
                    </a:r>
                  </a:p>
                </c:rich>
              </c:tx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0C48-4B4F-9ACA-BCE89AD89E5B}"/>
                </c:ext>
              </c:extLst>
            </c:dLbl>
            <c:dLbl>
              <c:idx val="12"/>
              <c:layout>
                <c:manualLayout>
                  <c:x val="0.14758796940955757"/>
                  <c:y val="7.493809125305782E-3"/>
                </c:manualLayout>
              </c:layout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0.44 Lakhs</a:t>
                    </a:r>
                  </a:p>
                </c:rich>
              </c:tx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0C48-4B4F-9ACA-BCE89AD89E5B}"/>
                </c:ext>
              </c:extLst>
            </c:dLbl>
            <c:dLbl>
              <c:idx val="13"/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5.36 Lakhs</a:t>
                    </a:r>
                  </a:p>
                </c:rich>
              </c:tx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0C48-4B4F-9ACA-BCE89AD89E5B}"/>
                </c:ext>
              </c:extLst>
            </c:dLbl>
            <c:dLbl>
              <c:idx val="14"/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9.96 Lakhs</a:t>
                    </a:r>
                  </a:p>
                </c:rich>
              </c:tx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0C48-4B4F-9ACA-BCE89AD89E5B}"/>
                </c:ext>
              </c:extLst>
            </c:dLbl>
            <c:dLbl>
              <c:idx val="15"/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4.78 Lakhs</a:t>
                    </a:r>
                  </a:p>
                </c:rich>
              </c:tx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0C48-4B4F-9ACA-BCE89AD89E5B}"/>
                </c:ext>
              </c:extLst>
            </c:dLbl>
            <c:dLbl>
              <c:idx val="16"/>
              <c:layout>
                <c:manualLayout>
                  <c:x val="1.9919848631964828E-2"/>
                  <c:y val="0"/>
                </c:manualLayout>
              </c:layout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5.70 Lakhs</a:t>
                    </a:r>
                  </a:p>
                </c:rich>
              </c:tx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0C48-4B4F-9ACA-BCE89AD89E5B}"/>
                </c:ext>
              </c:extLst>
            </c:dLbl>
            <c:dLbl>
              <c:idx val="17"/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5.48 Lakhs</a:t>
                    </a:r>
                  </a:p>
                </c:rich>
              </c:tx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0C48-4B4F-9ACA-BCE89AD89E5B}"/>
                </c:ext>
              </c:extLst>
            </c:dLbl>
            <c:dLbl>
              <c:idx val="18"/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8.76 Lakhs</a:t>
                    </a:r>
                  </a:p>
                </c:rich>
              </c:tx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0C48-4B4F-9ACA-BCE89AD89E5B}"/>
                </c:ext>
              </c:extLst>
            </c:dLbl>
            <c:dLbl>
              <c:idx val="19"/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4.39 Lakhs</a:t>
                    </a:r>
                  </a:p>
                </c:rich>
              </c:tx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0C48-4B4F-9ACA-BCE89AD89E5B}"/>
                </c:ext>
              </c:extLst>
            </c:dLbl>
            <c:dLbl>
              <c:idx val="20"/>
              <c:layout>
                <c:manualLayout>
                  <c:x val="2.1730743962143449E-2"/>
                  <c:y val="-7.4938091253057863E-3"/>
                </c:manualLayout>
              </c:layout>
              <c:tx>
                <c:rich>
                  <a:bodyPr rot="-5400000" spcFirstLastPara="1" vertOverflow="ellipsis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1.20 Lakhs</a:t>
                    </a:r>
                  </a:p>
                </c:rich>
              </c:tx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0C48-4B4F-9ACA-BCE89AD89E5B}"/>
                </c:ext>
              </c:extLst>
            </c:dLbl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'Profit Analysis'!$B$6:$B$27</c:f>
              <c:strCache>
                <c:ptCount val="21"/>
                <c:pt idx="0">
                  <c:v>AirPods Pro 3</c:v>
                </c:pt>
                <c:pt idx="1">
                  <c:v>Anker Power Bank 20000mAh</c:v>
                </c:pt>
                <c:pt idx="2">
                  <c:v>Apple Watch Series 11</c:v>
                </c:pt>
                <c:pt idx="3">
                  <c:v>ASUS Zenbook S16</c:v>
                </c:pt>
                <c:pt idx="4">
                  <c:v>Dell XPS 14</c:v>
                </c:pt>
                <c:pt idx="5">
                  <c:v>HP Envy 15</c:v>
                </c:pt>
                <c:pt idx="6">
                  <c:v>HP Spectre X360</c:v>
                </c:pt>
                <c:pt idx="7">
                  <c:v>iPhone 16</c:v>
                </c:pt>
                <c:pt idx="8">
                  <c:v>iPhone 16 Pro</c:v>
                </c:pt>
                <c:pt idx="9">
                  <c:v>Lenovo ThinkPad X1</c:v>
                </c:pt>
                <c:pt idx="10">
                  <c:v>LG OLED C5 TV</c:v>
                </c:pt>
                <c:pt idx="11">
                  <c:v>Logitech MX Keys</c:v>
                </c:pt>
                <c:pt idx="12">
                  <c:v>Logitech MX Master 4</c:v>
                </c:pt>
                <c:pt idx="13">
                  <c:v>MacBook Air M4</c:v>
                </c:pt>
                <c:pt idx="14">
                  <c:v>MacBook Pro M4</c:v>
                </c:pt>
                <c:pt idx="15">
                  <c:v>Samsung Galaxy S25</c:v>
                </c:pt>
                <c:pt idx="16">
                  <c:v>Samsung Galaxy S25 Ultra</c:v>
                </c:pt>
                <c:pt idx="17">
                  <c:v>Samsung Galaxy Tab S10</c:v>
                </c:pt>
                <c:pt idx="18">
                  <c:v>Sony Bravia 8</c:v>
                </c:pt>
                <c:pt idx="19">
                  <c:v>Sony PlayStation 5 Pro</c:v>
                </c:pt>
                <c:pt idx="20">
                  <c:v>Sony WH-1000XM5</c:v>
                </c:pt>
              </c:strCache>
            </c:strRef>
          </c:cat>
          <c:val>
            <c:numRef>
              <c:f>'Profit Analysis'!$C$6:$C$27</c:f>
              <c:numCache>
                <c:formatCode>"₹"\ #,##0</c:formatCode>
                <c:ptCount val="21"/>
                <c:pt idx="0">
                  <c:v>99600</c:v>
                </c:pt>
                <c:pt idx="1">
                  <c:v>10485</c:v>
                </c:pt>
                <c:pt idx="2">
                  <c:v>562800</c:v>
                </c:pt>
                <c:pt idx="3">
                  <c:v>895200</c:v>
                </c:pt>
                <c:pt idx="4">
                  <c:v>439200</c:v>
                </c:pt>
                <c:pt idx="5">
                  <c:v>392000</c:v>
                </c:pt>
                <c:pt idx="6">
                  <c:v>1166400</c:v>
                </c:pt>
                <c:pt idx="7">
                  <c:v>499600</c:v>
                </c:pt>
                <c:pt idx="8">
                  <c:v>639600</c:v>
                </c:pt>
                <c:pt idx="9">
                  <c:v>122000</c:v>
                </c:pt>
                <c:pt idx="10">
                  <c:v>751600</c:v>
                </c:pt>
                <c:pt idx="11">
                  <c:v>29985</c:v>
                </c:pt>
                <c:pt idx="12">
                  <c:v>43980</c:v>
                </c:pt>
                <c:pt idx="13">
                  <c:v>536000</c:v>
                </c:pt>
                <c:pt idx="14">
                  <c:v>996000</c:v>
                </c:pt>
                <c:pt idx="15">
                  <c:v>478000</c:v>
                </c:pt>
                <c:pt idx="16">
                  <c:v>570000</c:v>
                </c:pt>
                <c:pt idx="17">
                  <c:v>548000</c:v>
                </c:pt>
                <c:pt idx="18">
                  <c:v>876000</c:v>
                </c:pt>
                <c:pt idx="19">
                  <c:v>439200</c:v>
                </c:pt>
                <c:pt idx="20">
                  <c:v>119600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8-4B4F-9ACA-BCE89AD89E5B}"/>
            </c:ext>
          </c:extLst>
        </c:ser>
        <c:ser>
          <c:idx val="1"/>
          <c:order val="1"/>
          <c:tx>
            <c:strRef>
              <c:f>'Profit Analysis'!$D$5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9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6831-410D-9F84-73E2FACCFCE0}"/>
              </c:ext>
            </c:extLst>
          </c:dPt>
          <c:dPt>
            <c:idx val="20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6831-410D-9F84-73E2FACCFCE0}"/>
              </c:ext>
            </c:extLst>
          </c:dPt>
          <c:dLbls>
            <c:dLbl>
              <c:idx val="0"/>
              <c:layout>
                <c:manualLayout>
                  <c:x val="5.3103578721295439E-2"/>
                  <c:y val="3.74690456265289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FC25-408A-AEE1-F680BD38FFC4}"/>
                </c:ext>
              </c:extLst>
            </c:dLbl>
            <c:dLbl>
              <c:idx val="1"/>
              <c:layout>
                <c:manualLayout>
                  <c:x val="4.4959041326271189E-2"/>
                  <c:y val="-5.620356843979336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FC25-408A-AEE1-F680BD38FFC4}"/>
                </c:ext>
              </c:extLst>
            </c:dLbl>
            <c:dLbl>
              <c:idx val="4"/>
              <c:layout>
                <c:manualLayout>
                  <c:x val="3.0423041547000826E-3"/>
                  <c:y val="-5.620356843979336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FC25-408A-AEE1-F680BD38FFC4}"/>
                </c:ext>
              </c:extLst>
            </c:dLbl>
            <c:dLbl>
              <c:idx val="5"/>
              <c:layout>
                <c:manualLayout>
                  <c:x val="-5.7948650565715855E-4"/>
                  <c:y val="-9.367261406632227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FC25-408A-AEE1-F680BD38FFC4}"/>
                </c:ext>
              </c:extLst>
            </c:dLbl>
            <c:dLbl>
              <c:idx val="7"/>
              <c:layout>
                <c:manualLayout>
                  <c:x val="1.4813123800861083E-2"/>
                  <c:y val="-9.367261406632227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FC25-408A-AEE1-F680BD38FFC4}"/>
                </c:ext>
              </c:extLst>
            </c:dLbl>
            <c:dLbl>
              <c:idx val="8"/>
              <c:layout>
                <c:manualLayout>
                  <c:x val="2.0422336438543524E-2"/>
                  <c:y val="-5.620356843979405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FC25-408A-AEE1-F680BD38FFC4}"/>
                </c:ext>
              </c:extLst>
            </c:dLbl>
            <c:dLbl>
              <c:idx val="9"/>
              <c:layout>
                <c:manualLayout>
                  <c:x val="6.4054077041903898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FC25-408A-AEE1-F680BD38FFC4}"/>
                </c:ext>
              </c:extLst>
            </c:dLbl>
            <c:dLbl>
              <c:idx val="10"/>
              <c:layout>
                <c:manualLayout>
                  <c:x val="-2.9377285141368541E-2"/>
                  <c:y val="-3.74690456265289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FC25-408A-AEE1-F680BD38FFC4}"/>
                </c:ext>
              </c:extLst>
            </c:dLbl>
            <c:dLbl>
              <c:idx val="11"/>
              <c:layout>
                <c:manualLayout>
                  <c:x val="5.3075274569874931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FC25-408A-AEE1-F680BD38FFC4}"/>
                </c:ext>
              </c:extLst>
            </c:dLbl>
            <c:dLbl>
              <c:idx val="12"/>
              <c:layout>
                <c:manualLayout>
                  <c:x val="5.4896935458906185E-2"/>
                  <c:y val="3.74690456265282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FC25-408A-AEE1-F680BD38FFC4}"/>
                </c:ext>
              </c:extLst>
            </c:dLbl>
            <c:dLbl>
              <c:idx val="13"/>
              <c:layout>
                <c:manualLayout>
                  <c:x val="-3.1193028537785435E-3"/>
                  <c:y val="-3.74690456265289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FC25-408A-AEE1-F680BD38FFC4}"/>
                </c:ext>
              </c:extLst>
            </c:dLbl>
            <c:dLbl>
              <c:idx val="15"/>
              <c:layout>
                <c:manualLayout>
                  <c:x val="1.8434914461218324E-2"/>
                  <c:y val="-7.49380912530578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FC25-408A-AEE1-F680BD38FFC4}"/>
                </c:ext>
              </c:extLst>
            </c:dLbl>
            <c:dLbl>
              <c:idx val="16"/>
              <c:layout>
                <c:manualLayout>
                  <c:x val="-1.126833183958237E-2"/>
                  <c:y val="-5.620356843979370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FC25-408A-AEE1-F680BD38FFC4}"/>
                </c:ext>
              </c:extLst>
            </c:dLbl>
            <c:dLbl>
              <c:idx val="17"/>
              <c:layout>
                <c:manualLayout>
                  <c:x val="5.024878065787307E-4"/>
                  <c:y val="-7.49380912530578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FC25-408A-AEE1-F680BD38FFC4}"/>
                </c:ext>
              </c:extLst>
            </c:dLbl>
            <c:dLbl>
              <c:idx val="19"/>
              <c:layout>
                <c:manualLayout>
                  <c:x val="-4.2012771660144329E-3"/>
                  <c:y val="-5.620356843979336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831-410D-9F84-73E2FACCFCE0}"/>
                </c:ext>
              </c:extLst>
            </c:dLbl>
            <c:dLbl>
              <c:idx val="20"/>
              <c:layout>
                <c:manualLayout>
                  <c:x val="3.02070174190307E-3"/>
                  <c:y val="-3.74690456265289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831-410D-9F84-73E2FACCFCE0}"/>
                </c:ext>
              </c:extLst>
            </c:dLbl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'Profit Analysis'!$B$6:$B$27</c:f>
              <c:strCache>
                <c:ptCount val="21"/>
                <c:pt idx="0">
                  <c:v>AirPods Pro 3</c:v>
                </c:pt>
                <c:pt idx="1">
                  <c:v>Anker Power Bank 20000mAh</c:v>
                </c:pt>
                <c:pt idx="2">
                  <c:v>Apple Watch Series 11</c:v>
                </c:pt>
                <c:pt idx="3">
                  <c:v>ASUS Zenbook S16</c:v>
                </c:pt>
                <c:pt idx="4">
                  <c:v>Dell XPS 14</c:v>
                </c:pt>
                <c:pt idx="5">
                  <c:v>HP Envy 15</c:v>
                </c:pt>
                <c:pt idx="6">
                  <c:v>HP Spectre X360</c:v>
                </c:pt>
                <c:pt idx="7">
                  <c:v>iPhone 16</c:v>
                </c:pt>
                <c:pt idx="8">
                  <c:v>iPhone 16 Pro</c:v>
                </c:pt>
                <c:pt idx="9">
                  <c:v>Lenovo ThinkPad X1</c:v>
                </c:pt>
                <c:pt idx="10">
                  <c:v>LG OLED C5 TV</c:v>
                </c:pt>
                <c:pt idx="11">
                  <c:v>Logitech MX Keys</c:v>
                </c:pt>
                <c:pt idx="12">
                  <c:v>Logitech MX Master 4</c:v>
                </c:pt>
                <c:pt idx="13">
                  <c:v>MacBook Air M4</c:v>
                </c:pt>
                <c:pt idx="14">
                  <c:v>MacBook Pro M4</c:v>
                </c:pt>
                <c:pt idx="15">
                  <c:v>Samsung Galaxy S25</c:v>
                </c:pt>
                <c:pt idx="16">
                  <c:v>Samsung Galaxy S25 Ultra</c:v>
                </c:pt>
                <c:pt idx="17">
                  <c:v>Samsung Galaxy Tab S10</c:v>
                </c:pt>
                <c:pt idx="18">
                  <c:v>Sony Bravia 8</c:v>
                </c:pt>
                <c:pt idx="19">
                  <c:v>Sony PlayStation 5 Pro</c:v>
                </c:pt>
                <c:pt idx="20">
                  <c:v>Sony WH-1000XM5</c:v>
                </c:pt>
              </c:strCache>
            </c:strRef>
          </c:cat>
          <c:val>
            <c:numRef>
              <c:f>'Profit Analysis'!$D$6:$D$27</c:f>
              <c:numCache>
                <c:formatCode>"₹"\ #,##0</c:formatCode>
                <c:ptCount val="21"/>
                <c:pt idx="0">
                  <c:v>25600</c:v>
                </c:pt>
                <c:pt idx="1">
                  <c:v>4185</c:v>
                </c:pt>
                <c:pt idx="2">
                  <c:v>166800</c:v>
                </c:pt>
                <c:pt idx="3">
                  <c:v>195200</c:v>
                </c:pt>
                <c:pt idx="4">
                  <c:v>91200</c:v>
                </c:pt>
                <c:pt idx="5">
                  <c:v>92000</c:v>
                </c:pt>
                <c:pt idx="6">
                  <c:v>454400</c:v>
                </c:pt>
                <c:pt idx="7">
                  <c:v>91600</c:v>
                </c:pt>
                <c:pt idx="8">
                  <c:v>119600</c:v>
                </c:pt>
                <c:pt idx="9">
                  <c:v>29000</c:v>
                </c:pt>
                <c:pt idx="10">
                  <c:v>171600</c:v>
                </c:pt>
                <c:pt idx="11">
                  <c:v>11385</c:v>
                </c:pt>
                <c:pt idx="12">
                  <c:v>9580</c:v>
                </c:pt>
                <c:pt idx="13">
                  <c:v>120000</c:v>
                </c:pt>
                <c:pt idx="14">
                  <c:v>204000</c:v>
                </c:pt>
                <c:pt idx="15">
                  <c:v>90000</c:v>
                </c:pt>
                <c:pt idx="16">
                  <c:v>138000</c:v>
                </c:pt>
                <c:pt idx="17">
                  <c:v>156000</c:v>
                </c:pt>
                <c:pt idx="18">
                  <c:v>216000</c:v>
                </c:pt>
                <c:pt idx="19">
                  <c:v>95200</c:v>
                </c:pt>
                <c:pt idx="20">
                  <c:v>45600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48-4B4F-9ACA-BCE89AD89E5B}"/>
            </c:ext>
          </c:extLst>
        </c:ser>
        <c:ser>
          <c:idx val="2"/>
          <c:order val="2"/>
          <c:tx>
            <c:strRef>
              <c:f>'Profit Analysis'!$E$5</c:f>
              <c:strCache>
                <c:ptCount val="1"/>
                <c:pt idx="0">
                  <c:v>Average of % of profit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'Profit Analysis'!$B$6:$B$27</c:f>
              <c:strCache>
                <c:ptCount val="21"/>
                <c:pt idx="0">
                  <c:v>AirPods Pro 3</c:v>
                </c:pt>
                <c:pt idx="1">
                  <c:v>Anker Power Bank 20000mAh</c:v>
                </c:pt>
                <c:pt idx="2">
                  <c:v>Apple Watch Series 11</c:v>
                </c:pt>
                <c:pt idx="3">
                  <c:v>ASUS Zenbook S16</c:v>
                </c:pt>
                <c:pt idx="4">
                  <c:v>Dell XPS 14</c:v>
                </c:pt>
                <c:pt idx="5">
                  <c:v>HP Envy 15</c:v>
                </c:pt>
                <c:pt idx="6">
                  <c:v>HP Spectre X360</c:v>
                </c:pt>
                <c:pt idx="7">
                  <c:v>iPhone 16</c:v>
                </c:pt>
                <c:pt idx="8">
                  <c:v>iPhone 16 Pro</c:v>
                </c:pt>
                <c:pt idx="9">
                  <c:v>Lenovo ThinkPad X1</c:v>
                </c:pt>
                <c:pt idx="10">
                  <c:v>LG OLED C5 TV</c:v>
                </c:pt>
                <c:pt idx="11">
                  <c:v>Logitech MX Keys</c:v>
                </c:pt>
                <c:pt idx="12">
                  <c:v>Logitech MX Master 4</c:v>
                </c:pt>
                <c:pt idx="13">
                  <c:v>MacBook Air M4</c:v>
                </c:pt>
                <c:pt idx="14">
                  <c:v>MacBook Pro M4</c:v>
                </c:pt>
                <c:pt idx="15">
                  <c:v>Samsung Galaxy S25</c:v>
                </c:pt>
                <c:pt idx="16">
                  <c:v>Samsung Galaxy S25 Ultra</c:v>
                </c:pt>
                <c:pt idx="17">
                  <c:v>Samsung Galaxy Tab S10</c:v>
                </c:pt>
                <c:pt idx="18">
                  <c:v>Sony Bravia 8</c:v>
                </c:pt>
                <c:pt idx="19">
                  <c:v>Sony PlayStation 5 Pro</c:v>
                </c:pt>
                <c:pt idx="20">
                  <c:v>Sony WH-1000XM5</c:v>
                </c:pt>
              </c:strCache>
            </c:strRef>
          </c:cat>
          <c:val>
            <c:numRef>
              <c:f>'Profit Analysis'!$E$6:$E$27</c:f>
              <c:numCache>
                <c:formatCode>0%</c:formatCode>
                <c:ptCount val="21"/>
                <c:pt idx="0">
                  <c:v>0.25702811244979917</c:v>
                </c:pt>
                <c:pt idx="1">
                  <c:v>0.39914163090128757</c:v>
                </c:pt>
                <c:pt idx="2">
                  <c:v>0.29637526652452023</c:v>
                </c:pt>
                <c:pt idx="3">
                  <c:v>0.21805183199285075</c:v>
                </c:pt>
                <c:pt idx="4">
                  <c:v>0.20765027322404372</c:v>
                </c:pt>
                <c:pt idx="5">
                  <c:v>0.23469387755102042</c:v>
                </c:pt>
                <c:pt idx="6">
                  <c:v>0.3895747599451303</c:v>
                </c:pt>
                <c:pt idx="7">
                  <c:v>0.18334667734187349</c:v>
                </c:pt>
                <c:pt idx="8">
                  <c:v>0.18699186991869918</c:v>
                </c:pt>
                <c:pt idx="9">
                  <c:v>0.23770491803278687</c:v>
                </c:pt>
                <c:pt idx="10">
                  <c:v>0.22831293241085684</c:v>
                </c:pt>
                <c:pt idx="11">
                  <c:v>0.37968984492246122</c:v>
                </c:pt>
                <c:pt idx="12">
                  <c:v>0.21782628467485221</c:v>
                </c:pt>
                <c:pt idx="13">
                  <c:v>0.22388059701492538</c:v>
                </c:pt>
                <c:pt idx="14">
                  <c:v>0.20481927710843373</c:v>
                </c:pt>
                <c:pt idx="15">
                  <c:v>0.18828451882845187</c:v>
                </c:pt>
                <c:pt idx="16">
                  <c:v>0.24210526315789474</c:v>
                </c:pt>
                <c:pt idx="17">
                  <c:v>0.28467153284671531</c:v>
                </c:pt>
                <c:pt idx="18">
                  <c:v>0.24657534246575341</c:v>
                </c:pt>
                <c:pt idx="19">
                  <c:v>0.21675774134790529</c:v>
                </c:pt>
                <c:pt idx="20">
                  <c:v>0.38127090301003347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48-4B4F-9ACA-BCE89AD89E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09820016"/>
        <c:axId val="1006455184"/>
      </c:barChart>
      <c:catAx>
        <c:axId val="1809820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455184"/>
        <c:crosses val="autoZero"/>
        <c:auto val="1"/>
        <c:lblAlgn val="ctr"/>
        <c:lblOffset val="100"/>
        <c:noMultiLvlLbl val="0"/>
      </c:catAx>
      <c:valAx>
        <c:axId val="100645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82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 important pivot tables (Recovered).xlsx]Product Matrix!PivotTable7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Portfolio Matrix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&quot;₹&quot;#,##0.0,&quot;L&quot;" sourceLinked="0"/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Matrix'!$C$5</c:f>
              <c:strCache>
                <c:ptCount val="1"/>
                <c:pt idx="0">
                  <c:v>Sum of Revenue (₹)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&quot;₹&quot;#,##0.0,&quot;L&quot;" sourceLinked="0"/>
            <c:spPr>
              <a:solidFill>
                <a:schemeClr val="tx1">
                  <a:lumMod val="85000"/>
                  <a:lumOff val="1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Matrix'!$B$6:$B$27</c:f>
              <c:strCache>
                <c:ptCount val="21"/>
                <c:pt idx="0">
                  <c:v>HP Spectre X360</c:v>
                </c:pt>
                <c:pt idx="1">
                  <c:v>MacBook Pro M4</c:v>
                </c:pt>
                <c:pt idx="2">
                  <c:v>ASUS Zenbook S16</c:v>
                </c:pt>
                <c:pt idx="3">
                  <c:v>Sony Bravia 8</c:v>
                </c:pt>
                <c:pt idx="4">
                  <c:v>LG OLED C5 TV</c:v>
                </c:pt>
                <c:pt idx="5">
                  <c:v>iPhone 16 Pro</c:v>
                </c:pt>
                <c:pt idx="6">
                  <c:v>Samsung Galaxy S25 Ultra</c:v>
                </c:pt>
                <c:pt idx="7">
                  <c:v>Apple Watch Series 11</c:v>
                </c:pt>
                <c:pt idx="8">
                  <c:v>Samsung Galaxy Tab S10</c:v>
                </c:pt>
                <c:pt idx="9">
                  <c:v>MacBook Air M4</c:v>
                </c:pt>
                <c:pt idx="10">
                  <c:v>iPhone 16</c:v>
                </c:pt>
                <c:pt idx="11">
                  <c:v>Samsung Galaxy S25</c:v>
                </c:pt>
                <c:pt idx="12">
                  <c:v>Dell XPS 14</c:v>
                </c:pt>
                <c:pt idx="13">
                  <c:v>Sony PlayStation 5 Pro</c:v>
                </c:pt>
                <c:pt idx="14">
                  <c:v>HP Envy 15</c:v>
                </c:pt>
                <c:pt idx="15">
                  <c:v>Lenovo ThinkPad X1</c:v>
                </c:pt>
                <c:pt idx="16">
                  <c:v>Sony WH-1000XM5</c:v>
                </c:pt>
                <c:pt idx="17">
                  <c:v>AirPods Pro 3</c:v>
                </c:pt>
                <c:pt idx="18">
                  <c:v>Logitech MX Master 4</c:v>
                </c:pt>
                <c:pt idx="19">
                  <c:v>Logitech MX Keys</c:v>
                </c:pt>
                <c:pt idx="20">
                  <c:v>Anker Power Bank 20000mAh</c:v>
                </c:pt>
              </c:strCache>
            </c:strRef>
          </c:cat>
          <c:val>
            <c:numRef>
              <c:f>'Product Matrix'!$C$6:$C$27</c:f>
              <c:numCache>
                <c:formatCode>General</c:formatCode>
                <c:ptCount val="21"/>
                <c:pt idx="0">
                  <c:v>1166400</c:v>
                </c:pt>
                <c:pt idx="1">
                  <c:v>996000</c:v>
                </c:pt>
                <c:pt idx="2">
                  <c:v>895200</c:v>
                </c:pt>
                <c:pt idx="3">
                  <c:v>876000</c:v>
                </c:pt>
                <c:pt idx="4">
                  <c:v>751600</c:v>
                </c:pt>
                <c:pt idx="5">
                  <c:v>639600</c:v>
                </c:pt>
                <c:pt idx="6">
                  <c:v>570000</c:v>
                </c:pt>
                <c:pt idx="7">
                  <c:v>562800</c:v>
                </c:pt>
                <c:pt idx="8">
                  <c:v>548000</c:v>
                </c:pt>
                <c:pt idx="9">
                  <c:v>536000</c:v>
                </c:pt>
                <c:pt idx="10">
                  <c:v>499600</c:v>
                </c:pt>
                <c:pt idx="11">
                  <c:v>478000</c:v>
                </c:pt>
                <c:pt idx="12">
                  <c:v>439200</c:v>
                </c:pt>
                <c:pt idx="13">
                  <c:v>439200</c:v>
                </c:pt>
                <c:pt idx="14">
                  <c:v>392000</c:v>
                </c:pt>
                <c:pt idx="15">
                  <c:v>122000</c:v>
                </c:pt>
                <c:pt idx="16">
                  <c:v>119600</c:v>
                </c:pt>
                <c:pt idx="17">
                  <c:v>99600</c:v>
                </c:pt>
                <c:pt idx="18">
                  <c:v>43980</c:v>
                </c:pt>
                <c:pt idx="19">
                  <c:v>29985</c:v>
                </c:pt>
                <c:pt idx="20">
                  <c:v>10485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A-4D30-81FE-73AB130265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97362240"/>
        <c:axId val="1337043600"/>
      </c:barChart>
      <c:lineChart>
        <c:grouping val="standard"/>
        <c:varyColors val="0"/>
        <c:ser>
          <c:idx val="1"/>
          <c:order val="1"/>
          <c:tx>
            <c:strRef>
              <c:f>'Product Matrix'!$D$5</c:f>
              <c:strCache>
                <c:ptCount val="1"/>
                <c:pt idx="0">
                  <c:v>Sum of Units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Matrix'!$B$6:$B$27</c:f>
              <c:strCache>
                <c:ptCount val="21"/>
                <c:pt idx="0">
                  <c:v>HP Spectre X360</c:v>
                </c:pt>
                <c:pt idx="1">
                  <c:v>MacBook Pro M4</c:v>
                </c:pt>
                <c:pt idx="2">
                  <c:v>ASUS Zenbook S16</c:v>
                </c:pt>
                <c:pt idx="3">
                  <c:v>Sony Bravia 8</c:v>
                </c:pt>
                <c:pt idx="4">
                  <c:v>LG OLED C5 TV</c:v>
                </c:pt>
                <c:pt idx="5">
                  <c:v>iPhone 16 Pro</c:v>
                </c:pt>
                <c:pt idx="6">
                  <c:v>Samsung Galaxy S25 Ultra</c:v>
                </c:pt>
                <c:pt idx="7">
                  <c:v>Apple Watch Series 11</c:v>
                </c:pt>
                <c:pt idx="8">
                  <c:v>Samsung Galaxy Tab S10</c:v>
                </c:pt>
                <c:pt idx="9">
                  <c:v>MacBook Air M4</c:v>
                </c:pt>
                <c:pt idx="10">
                  <c:v>iPhone 16</c:v>
                </c:pt>
                <c:pt idx="11">
                  <c:v>Samsung Galaxy S25</c:v>
                </c:pt>
                <c:pt idx="12">
                  <c:v>Dell XPS 14</c:v>
                </c:pt>
                <c:pt idx="13">
                  <c:v>Sony PlayStation 5 Pro</c:v>
                </c:pt>
                <c:pt idx="14">
                  <c:v>HP Envy 15</c:v>
                </c:pt>
                <c:pt idx="15">
                  <c:v>Lenovo ThinkPad X1</c:v>
                </c:pt>
                <c:pt idx="16">
                  <c:v>Sony WH-1000XM5</c:v>
                </c:pt>
                <c:pt idx="17">
                  <c:v>AirPods Pro 3</c:v>
                </c:pt>
                <c:pt idx="18">
                  <c:v>Logitech MX Master 4</c:v>
                </c:pt>
                <c:pt idx="19">
                  <c:v>Logitech MX Keys</c:v>
                </c:pt>
                <c:pt idx="20">
                  <c:v>Anker Power Bank 20000mAh</c:v>
                </c:pt>
              </c:strCache>
            </c:strRef>
          </c:cat>
          <c:val>
            <c:numRef>
              <c:f>'Product Matrix'!$D$6:$D$27</c:f>
              <c:numCache>
                <c:formatCode>General</c:formatCode>
                <c:ptCount val="21"/>
                <c:pt idx="0">
                  <c:v>8</c:v>
                </c:pt>
                <c:pt idx="1">
                  <c:v>4</c:v>
                </c:pt>
                <c:pt idx="2">
                  <c:v>8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12</c:v>
                </c:pt>
                <c:pt idx="8">
                  <c:v>8</c:v>
                </c:pt>
                <c:pt idx="9">
                  <c:v>4</c:v>
                </c:pt>
                <c:pt idx="10">
                  <c:v>8</c:v>
                </c:pt>
                <c:pt idx="11">
                  <c:v>4</c:v>
                </c:pt>
                <c:pt idx="12">
                  <c:v>4</c:v>
                </c:pt>
                <c:pt idx="13">
                  <c:v>8</c:v>
                </c:pt>
                <c:pt idx="14">
                  <c:v>4</c:v>
                </c:pt>
                <c:pt idx="15">
                  <c:v>1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EA-4D30-81FE-73AB130265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8432863"/>
        <c:axId val="1337023440"/>
      </c:lineChart>
      <c:catAx>
        <c:axId val="139736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043600"/>
        <c:crosses val="autoZero"/>
        <c:auto val="1"/>
        <c:lblAlgn val="ctr"/>
        <c:lblOffset val="100"/>
        <c:noMultiLvlLbl val="0"/>
      </c:catAx>
      <c:valAx>
        <c:axId val="133704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362240"/>
        <c:crosses val="autoZero"/>
        <c:crossBetween val="between"/>
      </c:valAx>
      <c:valAx>
        <c:axId val="133702344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32863"/>
        <c:crosses val="max"/>
        <c:crossBetween val="between"/>
      </c:valAx>
      <c:catAx>
        <c:axId val="3584328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7023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 important pivot tables (Recovered).xlsx]Category Distribution!PivotTable8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'Category Distribution'!$C$7</c:f>
              <c:strCache>
                <c:ptCount val="1"/>
                <c:pt idx="0">
                  <c:v>Sum of Revenue (₹)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343-4565-8F21-C75C2060BE9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343-4565-8F21-C75C2060BE9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343-4565-8F21-C75C2060BE9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343-4565-8F21-C75C2060BE9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343-4565-8F21-C75C2060BE9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343-4565-8F21-C75C2060BE9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343-4565-8F21-C75C2060BE9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343-4565-8F21-C75C2060BE98}"/>
              </c:ext>
            </c:extLst>
          </c:dPt>
          <c:dLbls>
            <c:spPr>
              <a:solidFill>
                <a:schemeClr val="tx1">
                  <a:lumMod val="85000"/>
                  <a:lumOff val="1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'Category Distribution'!$B$8:$B$16</c:f>
              <c:strCache>
                <c:ptCount val="8"/>
                <c:pt idx="0">
                  <c:v>Laptops</c:v>
                </c:pt>
                <c:pt idx="1">
                  <c:v>Smartphones</c:v>
                </c:pt>
                <c:pt idx="2">
                  <c:v>Televisions</c:v>
                </c:pt>
                <c:pt idx="3">
                  <c:v>Wearables</c:v>
                </c:pt>
                <c:pt idx="4">
                  <c:v>Tablets</c:v>
                </c:pt>
                <c:pt idx="5">
                  <c:v>Gaming</c:v>
                </c:pt>
                <c:pt idx="6">
                  <c:v>Audio</c:v>
                </c:pt>
                <c:pt idx="7">
                  <c:v>Accessories</c:v>
                </c:pt>
              </c:strCache>
            </c:strRef>
          </c:cat>
          <c:val>
            <c:numRef>
              <c:f>'Category Distribution'!$C$8:$C$16</c:f>
              <c:numCache>
                <c:formatCode>"₹"\ #,##0</c:formatCode>
                <c:ptCount val="8"/>
                <c:pt idx="0">
                  <c:v>4546800</c:v>
                </c:pt>
                <c:pt idx="1">
                  <c:v>2187200</c:v>
                </c:pt>
                <c:pt idx="2">
                  <c:v>1627600</c:v>
                </c:pt>
                <c:pt idx="3">
                  <c:v>562800</c:v>
                </c:pt>
                <c:pt idx="4">
                  <c:v>548000</c:v>
                </c:pt>
                <c:pt idx="5">
                  <c:v>439200</c:v>
                </c:pt>
                <c:pt idx="6">
                  <c:v>219200</c:v>
                </c:pt>
                <c:pt idx="7">
                  <c:v>84450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9-4FA1-8064-6B90F712DC7D}"/>
            </c:ext>
          </c:extLst>
        </c:ser>
        <c:ser>
          <c:idx val="1"/>
          <c:order val="1"/>
          <c:tx>
            <c:strRef>
              <c:f>'Category Distribution'!$D$7</c:f>
              <c:strCache>
                <c:ptCount val="1"/>
                <c:pt idx="0">
                  <c:v>% of share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343-4565-8F21-C75C2060BE9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343-4565-8F21-C75C2060BE9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343-4565-8F21-C75C2060BE9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343-4565-8F21-C75C2060BE9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3343-4565-8F21-C75C2060BE9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3343-4565-8F21-C75C2060BE9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3343-4565-8F21-C75C2060BE9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3343-4565-8F21-C75C2060BE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'Category Distribution'!$B$8:$B$16</c:f>
              <c:strCache>
                <c:ptCount val="8"/>
                <c:pt idx="0">
                  <c:v>Laptops</c:v>
                </c:pt>
                <c:pt idx="1">
                  <c:v>Smartphones</c:v>
                </c:pt>
                <c:pt idx="2">
                  <c:v>Televisions</c:v>
                </c:pt>
                <c:pt idx="3">
                  <c:v>Wearables</c:v>
                </c:pt>
                <c:pt idx="4">
                  <c:v>Tablets</c:v>
                </c:pt>
                <c:pt idx="5">
                  <c:v>Gaming</c:v>
                </c:pt>
                <c:pt idx="6">
                  <c:v>Audio</c:v>
                </c:pt>
                <c:pt idx="7">
                  <c:v>Accessories</c:v>
                </c:pt>
              </c:strCache>
            </c:strRef>
          </c:cat>
          <c:val>
            <c:numRef>
              <c:f>'Category Distribution'!$D$8:$D$16</c:f>
              <c:numCache>
                <c:formatCode>0.00%</c:formatCode>
                <c:ptCount val="8"/>
                <c:pt idx="0">
                  <c:v>0.44509923888304254</c:v>
                </c:pt>
                <c:pt idx="1">
                  <c:v>0.21411125523114952</c:v>
                </c:pt>
                <c:pt idx="2">
                  <c:v>0.1593304128631213</c:v>
                </c:pt>
                <c:pt idx="3">
                  <c:v>5.5094099508088398E-2</c:v>
                </c:pt>
                <c:pt idx="4">
                  <c:v>5.3645285235309953E-2</c:v>
                </c:pt>
                <c:pt idx="5">
                  <c:v>4.2994542473263016E-2</c:v>
                </c:pt>
                <c:pt idx="6">
                  <c:v>2.145811409412398E-2</c:v>
                </c:pt>
                <c:pt idx="7">
                  <c:v>8.2670517119013236E-3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59-4FA1-8064-6B90F712DC7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969256994136228"/>
          <c:y val="6.1913235627311873E-2"/>
          <c:w val="0.19230022717748516"/>
          <c:h val="0.725931045719188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441960</xdr:colOff>
      <xdr:row>4</xdr:row>
      <xdr:rowOff>179070</xdr:rowOff>
    </xdr:from>
    <xdr:to>
      <xdr:col>23</xdr:col>
      <xdr:colOff>304800</xdr:colOff>
      <xdr:row>19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5E31CD-D9E1-E95A-1349-F3BF63D71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11</xdr:row>
      <xdr:rowOff>57150</xdr:rowOff>
    </xdr:from>
    <xdr:to>
      <xdr:col>12</xdr:col>
      <xdr:colOff>281940</xdr:colOff>
      <xdr:row>34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570380-ACEB-0D14-5C4E-321F1C6DC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464820</xdr:colOff>
      <xdr:row>4</xdr:row>
      <xdr:rowOff>3810</xdr:rowOff>
    </xdr:from>
    <xdr:to>
      <xdr:col>19</xdr:col>
      <xdr:colOff>579120</xdr:colOff>
      <xdr:row>29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B35815-7CE7-FDCB-3028-2B3899775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276377</xdr:colOff>
      <xdr:row>5</xdr:row>
      <xdr:rowOff>18746</xdr:rowOff>
    </xdr:from>
    <xdr:to>
      <xdr:col>26</xdr:col>
      <xdr:colOff>227996</xdr:colOff>
      <xdr:row>51</xdr:row>
      <xdr:rowOff>130629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11F98E-A880-4344-9B43-EF88B5EB27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2</xdr:row>
      <xdr:rowOff>102870</xdr:rowOff>
    </xdr:from>
    <xdr:to>
      <xdr:col>27</xdr:col>
      <xdr:colOff>596348</xdr:colOff>
      <xdr:row>41</xdr:row>
      <xdr:rowOff>121479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0769E6-82ED-FDD9-540D-9BA4A0A712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388620</xdr:colOff>
      <xdr:row>3</xdr:row>
      <xdr:rowOff>160020</xdr:rowOff>
    </xdr:from>
    <xdr:to>
      <xdr:col>21</xdr:col>
      <xdr:colOff>15240</xdr:colOff>
      <xdr:row>30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78484D-8408-D111-16BA-261539AFE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3</xdr:row>
      <xdr:rowOff>179070</xdr:rowOff>
    </xdr:from>
    <xdr:to>
      <xdr:col>15</xdr:col>
      <xdr:colOff>15240</xdr:colOff>
      <xdr:row>25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B34B5D-0AEB-F876-A285-3D2C091D8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nesh r. gawde" refreshedDate="46211.930780787035" backgroundQuery="1" createdVersion="8" refreshedVersion="8" minRefreshableVersion="3" recordCount="0" supportSubquery="1" supportAdvancedDrill="1" xr:uid="{0A8D3A72-377C-42D8-9FCC-E161758349EE}">
  <cacheSource type="external" connectionId="3"/>
  <cacheFields count="3">
    <cacheField name="[Data].[Customer Name].[Customer Name]" caption="Customer Name" numFmtId="0" hierarchy="2" level="1">
      <sharedItems count="11">
        <s v="Aisha Khan"/>
        <s v="Divya Nair"/>
        <s v="Krishna Rao"/>
        <s v="Kunal Mehta"/>
        <s v="Meera Shah"/>
        <s v="Mohit Agarwal"/>
        <s v="Neha Gupta"/>
        <s v="Nikhil Bhatia"/>
        <s v="Raj Malhotra"/>
        <s v="Somnath Goyal"/>
        <s v="Tarvi Deshmukh"/>
      </sharedItems>
    </cacheField>
    <cacheField name="[Measures].[Count of Order ID]" caption="Count of Order ID" numFmtId="0" hierarchy="15" level="32767"/>
    <cacheField name="[Data].[Order Date (Month)].[Order Date (Month)]" caption="Order Date (Month)" numFmtId="0" hierarchy="11" level="1">
      <sharedItems count="11">
        <s v="Jan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16">
    <cacheHierarchy uniqueName="[Data].[Order Date]" caption="Order Date" attribute="1" time="1" defaultMemberUniqueName="[Data].[Order Date].[All]" allUniqueName="[Data].[Order Date].[All]" dimensionUniqueName="[Data]" displayFolder="" count="2" memberValueDatatype="7" unbalanced="0"/>
    <cacheHierarchy uniqueName="[Data].[Order ID]" caption="Order ID" attribute="1" defaultMemberUniqueName="[Data].[Order ID].[All]" allUniqueName="[Data].[Order ID].[All]" dimensionUniqueName="[Data]" displayFolder="" count="0" memberValueDatatype="130" unbalanced="0"/>
    <cacheHierarchy uniqueName="[Data].[Customer Name]" caption="Customer Name" attribute="1" defaultMemberUniqueName="[Data].[Customer Name].[All]" allUniqueName="[Data].[Customer Name].[All]" dimensionUniqueName="[Data]" displayFolder="" count="2" memberValueDatatype="130" unbalanced="0">
      <fieldsUsage count="2">
        <fieldUsage x="-1"/>
        <fieldUsage x="0"/>
      </fieldsUsage>
    </cacheHierarchy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Product]" caption="Product" attribute="1" defaultMemberUniqueName="[Data].[Product].[All]" allUniqueName="[Data].[Product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Units]" caption="Units" attribute="1" defaultMemberUniqueName="[Data].[Units].[All]" allUniqueName="[Data].[Units].[All]" dimensionUniqueName="[Data]" displayFolder="" count="0" memberValueDatatype="20" unbalanced="0"/>
    <cacheHierarchy uniqueName="[Data].[Revenue (₹)]" caption="Revenue (₹)" attribute="1" defaultMemberUniqueName="[Data].[Revenue (₹)].[All]" allUniqueName="[Data].[Revenue (₹)].[All]" dimensionUniqueName="[Data]" displayFolder="" count="0" memberValueDatatype="20" unbalanced="0"/>
    <cacheHierarchy uniqueName="[Data].[Cost (₹)]" caption="Cost (₹)" attribute="1" defaultMemberUniqueName="[Data].[Cost (₹)].[All]" allUniqueName="[Data].[Cost (₹)].[All]" dimensionUniqueName="[Data]" displayFolder="" count="0" memberValueDatatype="20" unbalanced="0"/>
    <cacheHierarchy uniqueName="[Data].[Target Revenue (₹)]" caption="Target Revenue (₹)" attribute="1" defaultMemberUniqueName="[Data].[Target Revenue (₹)].[All]" allUniqueName="[Data].[Target Revenue (₹)].[All]" dimensionUniqueName="[Data]" displayFolder="" count="0" memberValueDatatype="20" unbalanced="0"/>
    <cacheHierarchy uniqueName="[Data].[Quarter]" caption="Quarter" attribute="1" defaultMemberUniqueName="[Data].[Quarter].[All]" allUniqueName="[Data].[Quarter].[All]" dimensionUniqueName="[Data]" displayFolder="" count="0" memberValueDatatype="20" unbalanced="0"/>
    <cacheHierarchy uniqueName="[Data].[Order Date (Month)]" caption="Order Date (Month)" attribute="1" defaultMemberUniqueName="[Data].[Order Date (Month)].[All]" allUniqueName="[Data].[Order Date (Month)].[All]" dimensionUniqueName="[Data]" displayFolder="" count="2" memberValueDatatype="130" unbalanced="0">
      <fieldsUsage count="2">
        <fieldUsage x="-1"/>
        <fieldUsage x="2"/>
      </fieldsUsage>
    </cacheHierarchy>
    <cacheHierarchy uniqueName="[Data].[Order Date (Month Index)]" caption="Order Date (Month Index)" attribute="1" defaultMemberUniqueName="[Data].[Order Date (Month Index)].[All]" allUniqueName="[Data].[Order Date (Month Index)].[All]" dimensionUniqueName="[Data]" displayFolder="" count="0" memberValueDatatype="20" unbalanced="0" hidden="1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nesh r. gawde" refreshedDate="46211.93887662037" createdVersion="8" refreshedVersion="8" minRefreshableVersion="3" recordCount="104" xr:uid="{BE2037AB-D21B-4C52-8467-59F9B6BDFF41}">
  <cacheSource type="worksheet">
    <worksheetSource name="Data4"/>
  </cacheSource>
  <cacheFields count="19">
    <cacheField name="Order Date" numFmtId="14">
      <sharedItems containsSemiMixedTypes="0" containsNonDate="0" containsDate="1" containsString="0" minDate="2025-01-02T00:00:00" maxDate="2025-12-31T00:00:00" count="102">
        <d v="2025-01-02T00:00:00"/>
        <d v="2025-01-03T00:00:00"/>
        <d v="2025-01-05T00:00:00"/>
        <d v="2025-01-15T00:00:00"/>
        <d v="2025-01-20T00:00:00"/>
        <d v="2025-01-25T00:00:00"/>
        <d v="2025-01-28T00:00:00"/>
        <d v="2025-01-30T00:00:00"/>
        <d v="2025-02-02T00:00:00"/>
        <d v="2025-02-05T00:00:00"/>
        <d v="2025-02-11T00:00:00"/>
        <d v="2025-02-15T00:00:00"/>
        <d v="2025-02-20T00:00:00"/>
        <d v="2025-02-25T00:00:00"/>
        <d v="2025-02-28T00:00:00"/>
        <d v="2025-03-02T00:00:00"/>
        <d v="2025-03-05T00:00:00"/>
        <d v="2025-03-10T00:00:00"/>
        <d v="2025-03-14T00:00:00"/>
        <d v="2025-03-18T00:00:00"/>
        <d v="2025-03-22T00:00:00"/>
        <d v="2025-03-25T00:00:00"/>
        <d v="2025-03-28T00:00:00"/>
        <d v="2025-03-30T00:00:00"/>
        <d v="2025-04-03T00:00:00"/>
        <d v="2025-04-05T00:00:00"/>
        <d v="2025-04-08T00:00:00"/>
        <d v="2025-04-12T00:00:00"/>
        <d v="2025-04-15T00:00:00"/>
        <d v="2025-04-18T00:00:00"/>
        <d v="2025-04-22T00:00:00"/>
        <d v="2025-04-25T00:00:00"/>
        <d v="2025-04-28T00:00:00"/>
        <d v="2025-05-02T00:00:00"/>
        <d v="2025-05-05T00:00:00"/>
        <d v="2025-05-08T00:00:00"/>
        <d v="2025-05-12T00:00:00"/>
        <d v="2025-05-15T00:00:00"/>
        <d v="2025-05-18T00:00:00"/>
        <d v="2025-05-22T00:00:00"/>
        <d v="2025-05-25T00:00:00"/>
        <d v="2025-05-28T00:00:00"/>
        <d v="2025-06-02T00:00:00"/>
        <d v="2025-06-05T00:00:00"/>
        <d v="2025-06-10T00:00:00"/>
        <d v="2025-06-14T00:00:00"/>
        <d v="2025-06-20T00:00:00"/>
        <d v="2025-06-25T00:00:00"/>
        <d v="2025-06-28T00:00:00"/>
        <d v="2025-06-30T00:00:00"/>
        <d v="2025-07-03T00:00:00"/>
        <d v="2025-07-05T00:00:00"/>
        <d v="2025-07-08T00:00:00"/>
        <d v="2025-07-12T00:00:00"/>
        <d v="2025-07-15T00:00:00"/>
        <d v="2025-07-18T00:00:00"/>
        <d v="2025-07-22T00:00:00"/>
        <d v="2025-07-25T00:00:00"/>
        <d v="2025-07-28T00:00:00"/>
        <d v="2025-08-02T00:00:00"/>
        <d v="2025-08-05T00:00:00"/>
        <d v="2025-08-08T00:00:00"/>
        <d v="2025-08-12T00:00:00"/>
        <d v="2025-08-15T00:00:00"/>
        <d v="2025-08-18T00:00:00"/>
        <d v="2025-08-22T00:00:00"/>
        <d v="2025-08-25T00:00:00"/>
        <d v="2025-08-28T00:00:00"/>
        <d v="2025-09-02T00:00:00"/>
        <d v="2025-09-05T00:00:00"/>
        <d v="2025-09-10T00:00:00"/>
        <d v="2025-09-14T00:00:00"/>
        <d v="2025-09-20T00:00:00"/>
        <d v="2025-09-25T00:00:00"/>
        <d v="2025-09-28T00:00:00"/>
        <d v="2025-09-30T00:00:00"/>
        <d v="2025-10-03T00:00:00"/>
        <d v="2025-10-05T00:00:00"/>
        <d v="2025-10-08T00:00:00"/>
        <d v="2025-10-12T00:00:00"/>
        <d v="2025-10-15T00:00:00"/>
        <d v="2025-10-18T00:00:00"/>
        <d v="2025-10-22T00:00:00"/>
        <d v="2025-10-25T00:00:00"/>
        <d v="2025-10-28T00:00:00"/>
        <d v="2025-11-02T00:00:00"/>
        <d v="2025-11-05T00:00:00"/>
        <d v="2025-11-08T00:00:00"/>
        <d v="2025-11-12T00:00:00"/>
        <d v="2025-11-15T00:00:00"/>
        <d v="2025-11-18T00:00:00"/>
        <d v="2025-11-22T00:00:00"/>
        <d v="2025-11-25T00:00:00"/>
        <d v="2025-11-28T00:00:00"/>
        <d v="2025-12-02T00:00:00"/>
        <d v="2025-12-05T00:00:00"/>
        <d v="2025-12-10T00:00:00"/>
        <d v="2025-12-14T00:00:00"/>
        <d v="2025-12-20T00:00:00"/>
        <d v="2025-12-25T00:00:00"/>
        <d v="2025-12-28T00:00:00"/>
        <d v="2025-12-30T00:00:00"/>
      </sharedItems>
    </cacheField>
    <cacheField name="Order ID" numFmtId="0">
      <sharedItems count="102">
        <s v="ORD101"/>
        <s v="ORD102"/>
        <s v="ORD103"/>
        <s v="ORD104"/>
        <s v="ORD105"/>
        <s v="ORD106"/>
        <s v="ORD107"/>
        <s v="ORD108"/>
        <s v="ORD109"/>
        <s v="ORD110"/>
        <s v="ORD111"/>
        <s v="ORD112"/>
        <s v="ORD113"/>
        <s v="ORD114"/>
        <s v="ORD115"/>
        <s v="ORD116"/>
        <s v="ORD117"/>
        <s v="ORD118"/>
        <s v="ORD119"/>
        <s v="ORD120"/>
        <s v="ORD121"/>
        <s v="ORD122"/>
        <s v="ORD123"/>
        <s v="ORD124"/>
        <s v="ORD125"/>
        <s v="ORD126"/>
        <s v="ORD127"/>
        <s v="ORD128"/>
        <s v="ORD129"/>
        <s v="ORD130"/>
        <s v="ORD131"/>
        <s v="ORD132"/>
        <s v="ORD133"/>
        <s v="ORD134"/>
        <s v="ORD135"/>
        <s v="ORD136"/>
        <s v="ORD137"/>
        <s v="ORD138"/>
        <s v="ORD139"/>
        <s v="ORD140"/>
        <s v="ORD141"/>
        <s v="ORD142"/>
        <s v="ORD143"/>
        <s v="ORD144"/>
        <s v="ORD145"/>
        <s v="ORD146"/>
        <s v="ORD147"/>
        <s v="ORD148"/>
        <s v="ORD149"/>
        <s v="ORD150"/>
        <s v="ORD151"/>
        <s v="ORD152"/>
        <s v="ORD153"/>
        <s v="ORD154"/>
        <s v="ORD155"/>
        <s v="ORD156"/>
        <s v="ORD157"/>
        <s v="ORD158"/>
        <s v="ORD159"/>
        <s v="ORD160"/>
        <s v="ORD161"/>
        <s v="ORD162"/>
        <s v="ORD163"/>
        <s v="ORD164"/>
        <s v="ORD165"/>
        <s v="ORD166"/>
        <s v="ORD167"/>
        <s v="ORD168"/>
        <s v="ORD169"/>
        <s v="ORD170"/>
        <s v="ORD171"/>
        <s v="ORD172"/>
        <s v="ORD173"/>
        <s v="ORD174"/>
        <s v="ORD175"/>
        <s v="ORD176"/>
        <s v="ORD177"/>
        <s v="ORD178"/>
        <s v="ORD179"/>
        <s v="ORD180"/>
        <s v="ORD181"/>
        <s v="ORD182"/>
        <s v="ORD183"/>
        <s v="ORD184"/>
        <s v="ORD185"/>
        <s v="ORD186"/>
        <s v="ORD187"/>
        <s v="ORD188"/>
        <s v="ORD189"/>
        <s v="ORD190"/>
        <s v="ORD191"/>
        <s v="ORD192"/>
        <s v="ORD193"/>
        <s v="ORD194"/>
        <s v="ORD195"/>
        <s v="ORD196"/>
        <s v="ORD197"/>
        <s v="ORD198"/>
        <s v="ORD199"/>
        <s v="ORD200"/>
        <s v="ORD201"/>
        <s v="ORD202"/>
      </sharedItems>
    </cacheField>
    <cacheField name="Customer Name" numFmtId="0">
      <sharedItems count="41">
        <s v="Rahul Sharma"/>
        <s v="Priya Patel"/>
        <s v="Arjun Mehta"/>
        <s v="Karan Shah"/>
        <s v="Sneha Verma"/>
        <s v="Neha Gupta"/>
        <s v="Rohan Joshi"/>
        <s v="Amit Kumar"/>
        <s v="Aman Kapoor"/>
        <s v="Siddharth Iyer"/>
        <s v="Harsh Agarwal"/>
        <s v="Deepak Bansal"/>
        <s v="Pooja Mehta"/>
        <s v="Rajesh Khanna"/>
        <s v="Ankit Verma"/>
        <s v="Simran Kaur"/>
        <s v="Raj Malhotra"/>
        <s v="Divya Nair"/>
        <s v="Kunal Mehta"/>
        <s v="Tarvi Deshmukh"/>
        <s v="Nikhil Bhatia"/>
        <s v="Somnath Goyal"/>
        <s v="Mohit Agarwal"/>
        <s v="Aisha Khan"/>
        <s v="Arjun Reddy"/>
        <s v="Neha Bedi"/>
        <s v="Krishna Rao"/>
        <s v="Meera Shah"/>
        <s v="Vivek Jain"/>
        <s v="Ananya Gupta"/>
        <s v="Rajesh Patel"/>
        <s v="Sneha Iyer"/>
        <s v="Harish Nair"/>
        <s v="Deepika Mehta"/>
        <s v="Ajay Kumar"/>
        <s v="Neha Verma"/>
        <s v="Rohit Singh"/>
        <s v="Priya Joshi"/>
        <s v="Karan Mehta"/>
        <s v="Sneha Patil"/>
        <s v="Amit Verma"/>
      </sharedItems>
    </cacheField>
    <cacheField name="City" numFmtId="0">
      <sharedItems/>
    </cacheField>
    <cacheField name="Product" numFmtId="0">
      <sharedItems count="21">
        <s v="iPhone 16"/>
        <s v="Samsung Galaxy S25 Ultra"/>
        <s v="MacBook Air M4"/>
        <s v="Apple Watch Series 11"/>
        <s v="Dell XPS 14"/>
        <s v="LG OLED C5 TV"/>
        <s v="AirPods Pro 3"/>
        <s v="Sony PlayStation 5 Pro"/>
        <s v="Samsung Galaxy Tab S10"/>
        <s v="Lenovo ThinkPad X1"/>
        <s v="ASUS Zenbook S16"/>
        <s v="MacBook Pro M4"/>
        <s v="Sony Bravia 8"/>
        <s v="HP Spectre X360"/>
        <s v="Samsung Galaxy S25"/>
        <s v="iPhone 16 Pro"/>
        <s v="Sony WH-1000XM5"/>
        <s v="Logitech MX Master 4"/>
        <s v="Anker Power Bank 20000mAh"/>
        <s v="Logitech MX Keys"/>
        <s v="HP Envy 15"/>
      </sharedItems>
    </cacheField>
    <cacheField name="Category" numFmtId="0">
      <sharedItems count="8">
        <s v="Smartphones"/>
        <s v="Laptops"/>
        <s v="Wearables"/>
        <s v="Televisions"/>
        <s v="Audio"/>
        <s v="Gaming"/>
        <s v="Tablets"/>
        <s v="Accessories"/>
      </sharedItems>
    </cacheField>
    <cacheField name="Units" numFmtId="0">
      <sharedItems containsSemiMixedTypes="0" containsString="0" containsNumber="1" containsInteger="1" minValue="1" maxValue="2"/>
    </cacheField>
    <cacheField name="Revenue (₹)" numFmtId="0">
      <sharedItems containsString="0" containsBlank="1" containsNumber="1" containsInteger="1" minValue="3495" maxValue="249000"/>
    </cacheField>
    <cacheField name="Cost (₹)" numFmtId="0">
      <sharedItems containsString="0" containsBlank="1" containsNumber="1" containsInteger="1" minValue="2100" maxValue="198000"/>
    </cacheField>
    <cacheField name="Target Revenue (₹)" numFmtId="0">
      <sharedItems containsString="0" containsBlank="1" containsNumber="1" containsInteger="1" minValue="3800" maxValue="260000"/>
    </cacheField>
    <cacheField name="Quart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Order Date (Month Index)" numFmtId="0">
      <sharedItems containsSemiMixedTypes="0" containsString="0" containsNumber="1" containsInteger="1" minValue="1" maxValue="12"/>
    </cacheField>
    <cacheField name="Order Date (Month)" numFmtId="0">
      <sharedItems/>
    </cacheField>
    <cacheField name="Variance" numFmtId="0" formula="'Revenue (₹)'-'Target Revenue (₹)'" databaseField="0"/>
    <cacheField name="Profit" numFmtId="0" formula="'Revenue (₹)'-'Cost (₹)'" databaseField="0"/>
    <cacheField name="% margin" numFmtId="0" formula="Profit/'Revenue (₹)'" databaseField="0"/>
    <cacheField name="Profit margin %" numFmtId="0" formula="Profit/'Revenue (₹)'" databaseField="0"/>
    <cacheField name="Profit %" numFmtId="0" formula="'Revenue (₹)'/Profit" databaseField="0"/>
    <cacheField name="% of profit" numFmtId="0" formula="('Revenue (₹)'-'Cost (₹)') /'Revenue (₹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x v="0"/>
    <x v="0"/>
    <x v="0"/>
    <s v="Mumbai"/>
    <x v="0"/>
    <x v="0"/>
    <n v="2"/>
    <n v="124900"/>
    <n v="102000"/>
    <n v="130000"/>
    <x v="0"/>
    <n v="1"/>
    <s v="Jan"/>
  </r>
  <r>
    <x v="1"/>
    <x v="1"/>
    <x v="1"/>
    <s v="Ahmedabad"/>
    <x v="1"/>
    <x v="0"/>
    <n v="1"/>
    <n v="142500"/>
    <n v="108000"/>
    <n v="145000"/>
    <x v="0"/>
    <n v="1"/>
    <s v="Jan"/>
  </r>
  <r>
    <x v="2"/>
    <x v="2"/>
    <x v="2"/>
    <s v="Bengaluru"/>
    <x v="2"/>
    <x v="1"/>
    <n v="1"/>
    <n v="134000"/>
    <n v="104000"/>
    <n v="140000"/>
    <x v="0"/>
    <n v="1"/>
    <s v="Jan"/>
  </r>
  <r>
    <x v="3"/>
    <x v="3"/>
    <x v="3"/>
    <s v="Pune"/>
    <x v="3"/>
    <x v="2"/>
    <n v="1"/>
    <n v="46900"/>
    <n v="33000"/>
    <n v="50000"/>
    <x v="0"/>
    <n v="1"/>
    <s v="Jan"/>
  </r>
  <r>
    <x v="4"/>
    <x v="4"/>
    <x v="4"/>
    <s v="Hyderabad"/>
    <x v="4"/>
    <x v="1"/>
    <n v="1"/>
    <n v="109800"/>
    <n v="87000"/>
    <n v="120000"/>
    <x v="0"/>
    <n v="1"/>
    <s v="Jan"/>
  </r>
  <r>
    <x v="5"/>
    <x v="5"/>
    <x v="5"/>
    <s v="Delhi"/>
    <x v="5"/>
    <x v="3"/>
    <n v="1"/>
    <n v="187900"/>
    <n v="145000"/>
    <n v="200000"/>
    <x v="0"/>
    <n v="1"/>
    <s v="Jan"/>
  </r>
  <r>
    <x v="6"/>
    <x v="6"/>
    <x v="6"/>
    <s v="Kolkata"/>
    <x v="6"/>
    <x v="4"/>
    <n v="1"/>
    <n v="24900"/>
    <n v="18500"/>
    <n v="28000"/>
    <x v="0"/>
    <n v="1"/>
    <s v="Jan"/>
  </r>
  <r>
    <x v="7"/>
    <x v="7"/>
    <x v="7"/>
    <s v="Jaipur"/>
    <x v="7"/>
    <x v="5"/>
    <n v="1"/>
    <n v="54900"/>
    <n v="43000"/>
    <n v="60000"/>
    <x v="0"/>
    <n v="1"/>
    <s v="Jan"/>
  </r>
  <r>
    <x v="8"/>
    <x v="8"/>
    <x v="8"/>
    <s v="Jaipur"/>
    <x v="8"/>
    <x v="6"/>
    <n v="1"/>
    <n v="68500"/>
    <n v="49000"/>
    <n v="72000"/>
    <x v="0"/>
    <n v="2"/>
    <s v="Feb"/>
  </r>
  <r>
    <x v="9"/>
    <x v="9"/>
    <x v="9"/>
    <s v="Bengaluru"/>
    <x v="9"/>
    <x v="1"/>
    <n v="1"/>
    <n v="122000"/>
    <n v="93000"/>
    <n v="128000"/>
    <x v="0"/>
    <n v="2"/>
    <s v="Feb"/>
  </r>
  <r>
    <x v="10"/>
    <x v="10"/>
    <x v="10"/>
    <s v="Ahmedabad"/>
    <x v="10"/>
    <x v="1"/>
    <n v="1"/>
    <n v="111900"/>
    <n v="89000"/>
    <n v="120000"/>
    <x v="0"/>
    <n v="2"/>
    <s v="Feb"/>
  </r>
  <r>
    <x v="11"/>
    <x v="11"/>
    <x v="11"/>
    <s v="Hyderabad"/>
    <x v="11"/>
    <x v="1"/>
    <n v="1"/>
    <n v="249000"/>
    <n v="198000"/>
    <n v="260000"/>
    <x v="0"/>
    <n v="2"/>
    <s v="Feb"/>
  </r>
  <r>
    <x v="12"/>
    <x v="12"/>
    <x v="12"/>
    <s v="Chennai"/>
    <x v="12"/>
    <x v="3"/>
    <n v="1"/>
    <n v="219000"/>
    <n v="165000"/>
    <n v="240000"/>
    <x v="0"/>
    <n v="2"/>
    <s v="Feb"/>
  </r>
  <r>
    <x v="13"/>
    <x v="13"/>
    <x v="13"/>
    <s v="Pune"/>
    <x v="13"/>
    <x v="1"/>
    <n v="1"/>
    <n v="145800"/>
    <n v="89000"/>
    <n v="120000"/>
    <x v="0"/>
    <n v="2"/>
    <s v="Feb"/>
  </r>
  <r>
    <x v="14"/>
    <x v="14"/>
    <x v="14"/>
    <s v="Kolkata"/>
    <x v="14"/>
    <x v="0"/>
    <n v="1"/>
    <n v="119500"/>
    <n v="97000"/>
    <n v="125000"/>
    <x v="0"/>
    <n v="2"/>
    <s v="Feb"/>
  </r>
  <r>
    <x v="15"/>
    <x v="15"/>
    <x v="15"/>
    <s v="Surat"/>
    <x v="3"/>
    <x v="2"/>
    <n v="1"/>
    <n v="46900"/>
    <n v="33000"/>
    <n v="50000"/>
    <x v="0"/>
    <n v="3"/>
    <s v="Mar"/>
  </r>
  <r>
    <x v="16"/>
    <x v="16"/>
    <x v="16"/>
    <s v="Delhi"/>
    <x v="3"/>
    <x v="2"/>
    <n v="1"/>
    <n v="46900"/>
    <n v="33000"/>
    <n v="50000"/>
    <x v="0"/>
    <n v="3"/>
    <s v="Mar"/>
  </r>
  <r>
    <x v="17"/>
    <x v="17"/>
    <x v="17"/>
    <s v="Mumbai"/>
    <x v="10"/>
    <x v="1"/>
    <n v="1"/>
    <n v="111900"/>
    <n v="86000"/>
    <n v="120000"/>
    <x v="0"/>
    <n v="3"/>
    <s v="Mar"/>
  </r>
  <r>
    <x v="18"/>
    <x v="18"/>
    <x v="18"/>
    <s v="Hyderabad"/>
    <x v="7"/>
    <x v="5"/>
    <n v="1"/>
    <n v="54900"/>
    <n v="43000"/>
    <n v="60000"/>
    <x v="0"/>
    <n v="3"/>
    <s v="Mar"/>
  </r>
  <r>
    <x v="19"/>
    <x v="19"/>
    <x v="19"/>
    <s v="Pune"/>
    <x v="13"/>
    <x v="1"/>
    <n v="1"/>
    <n v="145800"/>
    <n v="89000"/>
    <n v="120000"/>
    <x v="0"/>
    <n v="3"/>
    <s v="Mar"/>
  </r>
  <r>
    <x v="20"/>
    <x v="20"/>
    <x v="20"/>
    <s v="Ahmedabad"/>
    <x v="15"/>
    <x v="0"/>
    <n v="1"/>
    <n v="159900"/>
    <n v="130000"/>
    <n v="165000"/>
    <x v="0"/>
    <n v="3"/>
    <s v="Mar"/>
  </r>
  <r>
    <x v="21"/>
    <x v="21"/>
    <x v="21"/>
    <s v="Kolkata"/>
    <x v="8"/>
    <x v="6"/>
    <n v="1"/>
    <n v="68500"/>
    <n v="49000"/>
    <n v="72000"/>
    <x v="0"/>
    <n v="3"/>
    <s v="Mar"/>
  </r>
  <r>
    <x v="22"/>
    <x v="22"/>
    <x v="22"/>
    <s v="Chennai"/>
    <x v="16"/>
    <x v="4"/>
    <n v="1"/>
    <n v="29900"/>
    <n v="18500"/>
    <n v="32000"/>
    <x v="0"/>
    <n v="3"/>
    <s v="Mar"/>
  </r>
  <r>
    <x v="23"/>
    <x v="23"/>
    <x v="23"/>
    <s v="Jaipur"/>
    <x v="17"/>
    <x v="7"/>
    <n v="1"/>
    <n v="10995"/>
    <n v="8600"/>
    <n v="11000"/>
    <x v="0"/>
    <n v="3"/>
    <s v="Mar"/>
  </r>
  <r>
    <x v="24"/>
    <x v="24"/>
    <x v="24"/>
    <s v="Bengaluru"/>
    <x v="18"/>
    <x v="7"/>
    <n v="1"/>
    <n v="3495"/>
    <n v="2100"/>
    <n v="3800"/>
    <x v="1"/>
    <n v="4"/>
    <s v="Apr"/>
  </r>
  <r>
    <x v="25"/>
    <x v="25"/>
    <x v="25"/>
    <s v="Delhi"/>
    <x v="19"/>
    <x v="7"/>
    <n v="1"/>
    <n v="9995"/>
    <n v="6200"/>
    <n v="10500"/>
    <x v="1"/>
    <n v="4"/>
    <s v="Apr"/>
  </r>
  <r>
    <x v="26"/>
    <x v="26"/>
    <x v="26"/>
    <s v="Mumbai"/>
    <x v="20"/>
    <x v="1"/>
    <n v="1"/>
    <n v="98000"/>
    <n v="75000"/>
    <n v="105000"/>
    <x v="1"/>
    <n v="4"/>
    <s v="Apr"/>
  </r>
  <r>
    <x v="27"/>
    <x v="27"/>
    <x v="27"/>
    <s v="Pune"/>
    <x v="1"/>
    <x v="0"/>
    <n v="1"/>
    <n v="142500"/>
    <n v="108000"/>
    <n v="145000"/>
    <x v="1"/>
    <n v="4"/>
    <s v="Apr"/>
  </r>
  <r>
    <x v="28"/>
    <x v="28"/>
    <x v="28"/>
    <s v="Hyderabad"/>
    <x v="5"/>
    <x v="3"/>
    <n v="1"/>
    <n v="187900"/>
    <n v="145000"/>
    <n v="200000"/>
    <x v="1"/>
    <n v="4"/>
    <s v="Apr"/>
  </r>
  <r>
    <x v="29"/>
    <x v="29"/>
    <x v="29"/>
    <s v="Kolkata"/>
    <x v="6"/>
    <x v="4"/>
    <n v="1"/>
    <n v="24900"/>
    <n v="18500"/>
    <n v="28000"/>
    <x v="1"/>
    <n v="4"/>
    <s v="Apr"/>
  </r>
  <r>
    <x v="30"/>
    <x v="30"/>
    <x v="30"/>
    <s v="Delhi"/>
    <x v="2"/>
    <x v="1"/>
    <n v="1"/>
    <n v="134000"/>
    <n v="104000"/>
    <n v="140000"/>
    <x v="1"/>
    <n v="4"/>
    <s v="Apr"/>
  </r>
  <r>
    <x v="31"/>
    <x v="31"/>
    <x v="31"/>
    <s v="Chennai"/>
    <x v="3"/>
    <x v="2"/>
    <n v="1"/>
    <n v="46900"/>
    <n v="33000"/>
    <n v="50000"/>
    <x v="1"/>
    <n v="4"/>
    <s v="Apr"/>
  </r>
  <r>
    <x v="32"/>
    <x v="32"/>
    <x v="32"/>
    <s v="Bengaluru"/>
    <x v="7"/>
    <x v="5"/>
    <n v="1"/>
    <n v="54900"/>
    <n v="43000"/>
    <n v="60000"/>
    <x v="1"/>
    <n v="4"/>
    <s v="Apr"/>
  </r>
  <r>
    <x v="33"/>
    <x v="33"/>
    <x v="33"/>
    <s v="Pune"/>
    <x v="4"/>
    <x v="1"/>
    <n v="1"/>
    <n v="109800"/>
    <n v="87000"/>
    <n v="120000"/>
    <x v="1"/>
    <n v="5"/>
    <s v="May"/>
  </r>
  <r>
    <x v="34"/>
    <x v="34"/>
    <x v="34"/>
    <s v="Ahmedabad"/>
    <x v="8"/>
    <x v="6"/>
    <n v="1"/>
    <n v="68500"/>
    <n v="49000"/>
    <n v="72000"/>
    <x v="1"/>
    <n v="5"/>
    <s v="May"/>
  </r>
  <r>
    <x v="35"/>
    <x v="35"/>
    <x v="35"/>
    <s v="Hyderabad"/>
    <x v="10"/>
    <x v="1"/>
    <n v="1"/>
    <n v="111900"/>
    <n v="89000"/>
    <n v="120000"/>
    <x v="1"/>
    <n v="5"/>
    <s v="May"/>
  </r>
  <r>
    <x v="36"/>
    <x v="36"/>
    <x v="36"/>
    <s v="Jaipur"/>
    <x v="0"/>
    <x v="0"/>
    <n v="2"/>
    <n v="124900"/>
    <n v="102000"/>
    <n v="130000"/>
    <x v="1"/>
    <n v="5"/>
    <s v="May"/>
  </r>
  <r>
    <x v="37"/>
    <x v="37"/>
    <x v="37"/>
    <s v="Kolkata"/>
    <x v="11"/>
    <x v="1"/>
    <n v="1"/>
    <n v="249000"/>
    <n v="198000"/>
    <n v="260000"/>
    <x v="1"/>
    <n v="5"/>
    <s v="May"/>
  </r>
  <r>
    <x v="38"/>
    <x v="38"/>
    <x v="38"/>
    <s v="Pune"/>
    <x v="12"/>
    <x v="3"/>
    <n v="1"/>
    <n v="219000"/>
    <n v="165000"/>
    <n v="240000"/>
    <x v="1"/>
    <n v="5"/>
    <s v="May"/>
  </r>
  <r>
    <x v="39"/>
    <x v="39"/>
    <x v="39"/>
    <s v="Chennai"/>
    <x v="13"/>
    <x v="1"/>
    <n v="1"/>
    <n v="145800"/>
    <n v="89000"/>
    <n v="120000"/>
    <x v="1"/>
    <n v="5"/>
    <s v="May"/>
  </r>
  <r>
    <x v="40"/>
    <x v="40"/>
    <x v="40"/>
    <s v="Delhi"/>
    <x v="14"/>
    <x v="0"/>
    <n v="1"/>
    <n v="119500"/>
    <n v="97000"/>
    <n v="125000"/>
    <x v="1"/>
    <n v="5"/>
    <s v="May"/>
  </r>
  <r>
    <x v="41"/>
    <x v="41"/>
    <x v="5"/>
    <s v="Mumbai"/>
    <x v="3"/>
    <x v="2"/>
    <n v="1"/>
    <n v="46900"/>
    <n v="33000"/>
    <n v="50000"/>
    <x v="1"/>
    <n v="5"/>
    <s v="May"/>
  </r>
  <r>
    <x v="42"/>
    <x v="42"/>
    <x v="16"/>
    <s v="Delhi"/>
    <x v="3"/>
    <x v="2"/>
    <n v="1"/>
    <n v="46900"/>
    <n v="33000"/>
    <n v="50000"/>
    <x v="1"/>
    <n v="6"/>
    <s v="Jun"/>
  </r>
  <r>
    <x v="43"/>
    <x v="43"/>
    <x v="17"/>
    <s v="Mumbai"/>
    <x v="10"/>
    <x v="1"/>
    <n v="1"/>
    <n v="111900"/>
    <n v="86000"/>
    <n v="120000"/>
    <x v="1"/>
    <n v="6"/>
    <s v="Jun"/>
  </r>
  <r>
    <x v="44"/>
    <x v="44"/>
    <x v="18"/>
    <s v="Hyderabad"/>
    <x v="7"/>
    <x v="5"/>
    <n v="1"/>
    <n v="54900"/>
    <n v="43000"/>
    <n v="60000"/>
    <x v="1"/>
    <n v="6"/>
    <s v="Jun"/>
  </r>
  <r>
    <x v="45"/>
    <x v="45"/>
    <x v="19"/>
    <s v="Pune"/>
    <x v="13"/>
    <x v="1"/>
    <n v="1"/>
    <n v="145800"/>
    <n v="89000"/>
    <n v="120000"/>
    <x v="1"/>
    <n v="6"/>
    <s v="Jun"/>
  </r>
  <r>
    <x v="46"/>
    <x v="46"/>
    <x v="20"/>
    <s v="Ahmedabad"/>
    <x v="15"/>
    <x v="0"/>
    <n v="1"/>
    <n v="159900"/>
    <n v="130000"/>
    <n v="165000"/>
    <x v="1"/>
    <n v="6"/>
    <s v="Jun"/>
  </r>
  <r>
    <x v="47"/>
    <x v="47"/>
    <x v="21"/>
    <s v="Kolkata"/>
    <x v="8"/>
    <x v="6"/>
    <n v="1"/>
    <n v="68500"/>
    <n v="49000"/>
    <n v="72000"/>
    <x v="1"/>
    <n v="6"/>
    <s v="Jun"/>
  </r>
  <r>
    <x v="48"/>
    <x v="48"/>
    <x v="22"/>
    <s v="Chennai"/>
    <x v="16"/>
    <x v="4"/>
    <n v="1"/>
    <n v="29900"/>
    <n v="18500"/>
    <n v="32000"/>
    <x v="1"/>
    <n v="6"/>
    <s v="Jun"/>
  </r>
  <r>
    <x v="49"/>
    <x v="49"/>
    <x v="23"/>
    <s v="Jaipur"/>
    <x v="17"/>
    <x v="7"/>
    <n v="1"/>
    <n v="10995"/>
    <n v="8600"/>
    <n v="11000"/>
    <x v="1"/>
    <n v="6"/>
    <s v="Jun"/>
  </r>
  <r>
    <x v="50"/>
    <x v="50"/>
    <x v="24"/>
    <s v="Bengaluru"/>
    <x v="18"/>
    <x v="7"/>
    <n v="1"/>
    <n v="3495"/>
    <n v="2100"/>
    <n v="3800"/>
    <x v="2"/>
    <n v="7"/>
    <s v="Jul"/>
  </r>
  <r>
    <x v="51"/>
    <x v="51"/>
    <x v="25"/>
    <s v="Delhi"/>
    <x v="19"/>
    <x v="7"/>
    <n v="1"/>
    <n v="9995"/>
    <n v="6200"/>
    <n v="10500"/>
    <x v="2"/>
    <n v="7"/>
    <s v="Jul"/>
  </r>
  <r>
    <x v="52"/>
    <x v="52"/>
    <x v="26"/>
    <s v="Mumbai"/>
    <x v="20"/>
    <x v="1"/>
    <n v="1"/>
    <n v="98000"/>
    <n v="75000"/>
    <n v="105000"/>
    <x v="2"/>
    <n v="7"/>
    <s v="Jul"/>
  </r>
  <r>
    <x v="53"/>
    <x v="53"/>
    <x v="27"/>
    <s v="Pune"/>
    <x v="1"/>
    <x v="0"/>
    <n v="1"/>
    <m/>
    <m/>
    <m/>
    <x v="2"/>
    <n v="7"/>
    <s v="Jul"/>
  </r>
  <r>
    <x v="52"/>
    <x v="52"/>
    <x v="26"/>
    <s v="Mumbai"/>
    <x v="20"/>
    <x v="1"/>
    <n v="1"/>
    <n v="98000"/>
    <n v="75000"/>
    <n v="105000"/>
    <x v="2"/>
    <n v="7"/>
    <s v="Jul"/>
  </r>
  <r>
    <x v="53"/>
    <x v="53"/>
    <x v="27"/>
    <s v="Pune"/>
    <x v="1"/>
    <x v="0"/>
    <n v="1"/>
    <n v="142500"/>
    <n v="108000"/>
    <n v="145000"/>
    <x v="2"/>
    <n v="7"/>
    <s v="Jul"/>
  </r>
  <r>
    <x v="54"/>
    <x v="54"/>
    <x v="28"/>
    <s v="Hyderabad"/>
    <x v="5"/>
    <x v="3"/>
    <n v="1"/>
    <n v="187900"/>
    <n v="145000"/>
    <n v="200000"/>
    <x v="2"/>
    <n v="7"/>
    <s v="Jul"/>
  </r>
  <r>
    <x v="55"/>
    <x v="55"/>
    <x v="29"/>
    <s v="Kolkata"/>
    <x v="6"/>
    <x v="4"/>
    <n v="1"/>
    <n v="24900"/>
    <n v="18500"/>
    <n v="28000"/>
    <x v="2"/>
    <n v="7"/>
    <s v="Jul"/>
  </r>
  <r>
    <x v="56"/>
    <x v="56"/>
    <x v="30"/>
    <s v="Delhi"/>
    <x v="2"/>
    <x v="1"/>
    <n v="1"/>
    <n v="134000"/>
    <n v="104000"/>
    <n v="140000"/>
    <x v="2"/>
    <n v="7"/>
    <s v="Jul"/>
  </r>
  <r>
    <x v="57"/>
    <x v="57"/>
    <x v="31"/>
    <s v="Chennai"/>
    <x v="3"/>
    <x v="2"/>
    <n v="1"/>
    <n v="46900"/>
    <n v="33000"/>
    <n v="50000"/>
    <x v="2"/>
    <n v="7"/>
    <s v="Jul"/>
  </r>
  <r>
    <x v="58"/>
    <x v="58"/>
    <x v="32"/>
    <s v="Bengaluru"/>
    <x v="7"/>
    <x v="5"/>
    <n v="1"/>
    <n v="54900"/>
    <n v="43000"/>
    <n v="60000"/>
    <x v="2"/>
    <n v="7"/>
    <s v="Jul"/>
  </r>
  <r>
    <x v="59"/>
    <x v="59"/>
    <x v="33"/>
    <s v="Pune"/>
    <x v="4"/>
    <x v="1"/>
    <n v="1"/>
    <n v="109800"/>
    <n v="87000"/>
    <n v="120000"/>
    <x v="2"/>
    <n v="8"/>
    <s v="Aug"/>
  </r>
  <r>
    <x v="60"/>
    <x v="60"/>
    <x v="34"/>
    <s v="Ahmedabad"/>
    <x v="8"/>
    <x v="6"/>
    <n v="1"/>
    <n v="68500"/>
    <n v="49000"/>
    <n v="72000"/>
    <x v="2"/>
    <n v="8"/>
    <s v="Aug"/>
  </r>
  <r>
    <x v="61"/>
    <x v="61"/>
    <x v="35"/>
    <s v="Hyderabad"/>
    <x v="10"/>
    <x v="1"/>
    <n v="1"/>
    <n v="111900"/>
    <n v="89000"/>
    <n v="120000"/>
    <x v="2"/>
    <n v="8"/>
    <s v="Aug"/>
  </r>
  <r>
    <x v="62"/>
    <x v="62"/>
    <x v="36"/>
    <s v="Jaipur"/>
    <x v="0"/>
    <x v="0"/>
    <n v="2"/>
    <n v="124900"/>
    <n v="102000"/>
    <n v="130000"/>
    <x v="2"/>
    <n v="8"/>
    <s v="Aug"/>
  </r>
  <r>
    <x v="63"/>
    <x v="63"/>
    <x v="37"/>
    <s v="Kolkata"/>
    <x v="11"/>
    <x v="1"/>
    <n v="1"/>
    <n v="249000"/>
    <n v="198000"/>
    <n v="260000"/>
    <x v="2"/>
    <n v="8"/>
    <s v="Aug"/>
  </r>
  <r>
    <x v="64"/>
    <x v="64"/>
    <x v="38"/>
    <s v="Pune"/>
    <x v="12"/>
    <x v="3"/>
    <n v="1"/>
    <n v="219000"/>
    <n v="165000"/>
    <n v="240000"/>
    <x v="2"/>
    <n v="8"/>
    <s v="Aug"/>
  </r>
  <r>
    <x v="65"/>
    <x v="65"/>
    <x v="39"/>
    <s v="Chennai"/>
    <x v="13"/>
    <x v="1"/>
    <n v="1"/>
    <n v="145800"/>
    <n v="89000"/>
    <n v="120000"/>
    <x v="2"/>
    <n v="8"/>
    <s v="Aug"/>
  </r>
  <r>
    <x v="66"/>
    <x v="66"/>
    <x v="40"/>
    <s v="Delhi"/>
    <x v="14"/>
    <x v="0"/>
    <n v="1"/>
    <n v="119500"/>
    <n v="97000"/>
    <n v="125000"/>
    <x v="2"/>
    <n v="8"/>
    <s v="Aug"/>
  </r>
  <r>
    <x v="67"/>
    <x v="67"/>
    <x v="5"/>
    <s v="Mumbai"/>
    <x v="3"/>
    <x v="2"/>
    <n v="1"/>
    <n v="46900"/>
    <n v="33000"/>
    <n v="50000"/>
    <x v="2"/>
    <n v="8"/>
    <s v="Aug"/>
  </r>
  <r>
    <x v="68"/>
    <x v="68"/>
    <x v="16"/>
    <s v="Delhi"/>
    <x v="3"/>
    <x v="2"/>
    <n v="1"/>
    <n v="46900"/>
    <n v="33000"/>
    <n v="50000"/>
    <x v="2"/>
    <n v="9"/>
    <s v="Sep"/>
  </r>
  <r>
    <x v="69"/>
    <x v="69"/>
    <x v="17"/>
    <s v="Mumbai"/>
    <x v="10"/>
    <x v="1"/>
    <n v="1"/>
    <n v="111900"/>
    <n v="86000"/>
    <n v="120000"/>
    <x v="2"/>
    <n v="9"/>
    <s v="Sep"/>
  </r>
  <r>
    <x v="70"/>
    <x v="70"/>
    <x v="18"/>
    <s v="Hyderabad"/>
    <x v="7"/>
    <x v="5"/>
    <n v="1"/>
    <n v="54900"/>
    <n v="43000"/>
    <n v="60000"/>
    <x v="2"/>
    <n v="9"/>
    <s v="Sep"/>
  </r>
  <r>
    <x v="71"/>
    <x v="71"/>
    <x v="19"/>
    <s v="Pune"/>
    <x v="13"/>
    <x v="1"/>
    <n v="1"/>
    <n v="145800"/>
    <n v="89000"/>
    <n v="120000"/>
    <x v="2"/>
    <n v="9"/>
    <s v="Sep"/>
  </r>
  <r>
    <x v="72"/>
    <x v="72"/>
    <x v="20"/>
    <s v="Ahmedabad"/>
    <x v="15"/>
    <x v="0"/>
    <n v="1"/>
    <n v="159900"/>
    <n v="130000"/>
    <n v="165000"/>
    <x v="2"/>
    <n v="9"/>
    <s v="Sep"/>
  </r>
  <r>
    <x v="73"/>
    <x v="73"/>
    <x v="21"/>
    <s v="Kolkata"/>
    <x v="8"/>
    <x v="6"/>
    <n v="1"/>
    <n v="68500"/>
    <n v="49000"/>
    <n v="72000"/>
    <x v="2"/>
    <n v="9"/>
    <s v="Sep"/>
  </r>
  <r>
    <x v="74"/>
    <x v="74"/>
    <x v="22"/>
    <s v="Chennai"/>
    <x v="16"/>
    <x v="4"/>
    <n v="1"/>
    <n v="29900"/>
    <n v="18500"/>
    <n v="32000"/>
    <x v="2"/>
    <n v="9"/>
    <s v="Sep"/>
  </r>
  <r>
    <x v="75"/>
    <x v="75"/>
    <x v="23"/>
    <s v="Jaipur"/>
    <x v="17"/>
    <x v="7"/>
    <n v="1"/>
    <n v="10995"/>
    <n v="8600"/>
    <n v="11000"/>
    <x v="2"/>
    <n v="9"/>
    <s v="Sep"/>
  </r>
  <r>
    <x v="76"/>
    <x v="76"/>
    <x v="24"/>
    <s v="Bengaluru"/>
    <x v="18"/>
    <x v="7"/>
    <n v="1"/>
    <n v="3495"/>
    <n v="2100"/>
    <n v="3800"/>
    <x v="3"/>
    <n v="10"/>
    <s v="Oct"/>
  </r>
  <r>
    <x v="77"/>
    <x v="77"/>
    <x v="25"/>
    <s v="Delhi"/>
    <x v="19"/>
    <x v="7"/>
    <n v="1"/>
    <n v="9995"/>
    <n v="6200"/>
    <n v="10500"/>
    <x v="3"/>
    <n v="10"/>
    <s v="Oct"/>
  </r>
  <r>
    <x v="78"/>
    <x v="78"/>
    <x v="26"/>
    <s v="Mumbai"/>
    <x v="20"/>
    <x v="1"/>
    <n v="1"/>
    <n v="98000"/>
    <n v="75000"/>
    <n v="105000"/>
    <x v="3"/>
    <n v="10"/>
    <s v="Oct"/>
  </r>
  <r>
    <x v="79"/>
    <x v="79"/>
    <x v="27"/>
    <s v="Pune"/>
    <x v="1"/>
    <x v="0"/>
    <n v="1"/>
    <n v="142500"/>
    <n v="108000"/>
    <n v="145000"/>
    <x v="3"/>
    <n v="10"/>
    <s v="Oct"/>
  </r>
  <r>
    <x v="80"/>
    <x v="80"/>
    <x v="28"/>
    <s v="Hyderabad"/>
    <x v="5"/>
    <x v="3"/>
    <n v="1"/>
    <n v="187900"/>
    <n v="145000"/>
    <n v="200000"/>
    <x v="3"/>
    <n v="10"/>
    <s v="Oct"/>
  </r>
  <r>
    <x v="81"/>
    <x v="81"/>
    <x v="29"/>
    <s v="Kolkata"/>
    <x v="6"/>
    <x v="4"/>
    <n v="1"/>
    <n v="24900"/>
    <n v="18500"/>
    <n v="28000"/>
    <x v="3"/>
    <n v="10"/>
    <s v="Oct"/>
  </r>
  <r>
    <x v="82"/>
    <x v="82"/>
    <x v="30"/>
    <s v="Delhi"/>
    <x v="2"/>
    <x v="1"/>
    <n v="1"/>
    <n v="134000"/>
    <n v="104000"/>
    <n v="140000"/>
    <x v="3"/>
    <n v="10"/>
    <s v="Oct"/>
  </r>
  <r>
    <x v="83"/>
    <x v="83"/>
    <x v="31"/>
    <s v="Chennai"/>
    <x v="3"/>
    <x v="2"/>
    <n v="1"/>
    <n v="46900"/>
    <n v="33000"/>
    <n v="50000"/>
    <x v="3"/>
    <n v="10"/>
    <s v="Oct"/>
  </r>
  <r>
    <x v="84"/>
    <x v="84"/>
    <x v="32"/>
    <s v="Bengaluru"/>
    <x v="7"/>
    <x v="5"/>
    <n v="1"/>
    <n v="54900"/>
    <n v="43000"/>
    <n v="60000"/>
    <x v="3"/>
    <n v="10"/>
    <s v="Oct"/>
  </r>
  <r>
    <x v="85"/>
    <x v="85"/>
    <x v="33"/>
    <s v="Pune"/>
    <x v="4"/>
    <x v="1"/>
    <n v="1"/>
    <n v="109800"/>
    <n v="87000"/>
    <n v="120000"/>
    <x v="3"/>
    <n v="11"/>
    <s v="Nov"/>
  </r>
  <r>
    <x v="86"/>
    <x v="86"/>
    <x v="34"/>
    <s v="Ahmedabad"/>
    <x v="8"/>
    <x v="6"/>
    <n v="1"/>
    <n v="68500"/>
    <n v="49000"/>
    <n v="72000"/>
    <x v="3"/>
    <n v="11"/>
    <s v="Nov"/>
  </r>
  <r>
    <x v="87"/>
    <x v="87"/>
    <x v="35"/>
    <s v="Hyderabad"/>
    <x v="10"/>
    <x v="1"/>
    <n v="1"/>
    <n v="111900"/>
    <n v="89000"/>
    <n v="120000"/>
    <x v="3"/>
    <n v="11"/>
    <s v="Nov"/>
  </r>
  <r>
    <x v="88"/>
    <x v="88"/>
    <x v="36"/>
    <s v="Jaipur"/>
    <x v="0"/>
    <x v="0"/>
    <n v="2"/>
    <n v="124900"/>
    <n v="102000"/>
    <n v="130000"/>
    <x v="3"/>
    <n v="11"/>
    <s v="Nov"/>
  </r>
  <r>
    <x v="89"/>
    <x v="89"/>
    <x v="37"/>
    <s v="Kolkata"/>
    <x v="11"/>
    <x v="1"/>
    <n v="1"/>
    <n v="249000"/>
    <n v="198000"/>
    <n v="260000"/>
    <x v="3"/>
    <n v="11"/>
    <s v="Nov"/>
  </r>
  <r>
    <x v="90"/>
    <x v="90"/>
    <x v="38"/>
    <s v="Pune"/>
    <x v="12"/>
    <x v="3"/>
    <n v="1"/>
    <n v="219000"/>
    <n v="165000"/>
    <n v="240000"/>
    <x v="3"/>
    <n v="11"/>
    <s v="Nov"/>
  </r>
  <r>
    <x v="91"/>
    <x v="91"/>
    <x v="39"/>
    <s v="Chennai"/>
    <x v="13"/>
    <x v="1"/>
    <n v="1"/>
    <n v="145800"/>
    <n v="89000"/>
    <n v="120000"/>
    <x v="3"/>
    <n v="11"/>
    <s v="Nov"/>
  </r>
  <r>
    <x v="92"/>
    <x v="92"/>
    <x v="40"/>
    <s v="Delhi"/>
    <x v="14"/>
    <x v="0"/>
    <n v="1"/>
    <n v="119500"/>
    <n v="97000"/>
    <n v="125000"/>
    <x v="3"/>
    <n v="11"/>
    <s v="Nov"/>
  </r>
  <r>
    <x v="93"/>
    <x v="93"/>
    <x v="5"/>
    <s v="Mumbai"/>
    <x v="3"/>
    <x v="2"/>
    <n v="1"/>
    <n v="46900"/>
    <n v="33000"/>
    <n v="50000"/>
    <x v="3"/>
    <n v="11"/>
    <s v="Nov"/>
  </r>
  <r>
    <x v="94"/>
    <x v="94"/>
    <x v="16"/>
    <s v="Delhi"/>
    <x v="3"/>
    <x v="2"/>
    <n v="1"/>
    <n v="46900"/>
    <n v="33000"/>
    <n v="50000"/>
    <x v="3"/>
    <n v="12"/>
    <s v="Dec"/>
  </r>
  <r>
    <x v="95"/>
    <x v="95"/>
    <x v="17"/>
    <s v="Mumbai"/>
    <x v="10"/>
    <x v="1"/>
    <n v="1"/>
    <n v="111900"/>
    <n v="86000"/>
    <n v="120000"/>
    <x v="3"/>
    <n v="12"/>
    <s v="Dec"/>
  </r>
  <r>
    <x v="96"/>
    <x v="96"/>
    <x v="18"/>
    <s v="Hyderabad"/>
    <x v="7"/>
    <x v="5"/>
    <n v="1"/>
    <n v="54900"/>
    <n v="43000"/>
    <n v="60000"/>
    <x v="3"/>
    <n v="12"/>
    <s v="Dec"/>
  </r>
  <r>
    <x v="97"/>
    <x v="97"/>
    <x v="19"/>
    <s v="Pune"/>
    <x v="13"/>
    <x v="1"/>
    <n v="1"/>
    <n v="145800"/>
    <n v="89000"/>
    <n v="120000"/>
    <x v="3"/>
    <n v="12"/>
    <s v="Dec"/>
  </r>
  <r>
    <x v="98"/>
    <x v="98"/>
    <x v="20"/>
    <s v="Ahmedabad"/>
    <x v="15"/>
    <x v="0"/>
    <n v="1"/>
    <n v="159900"/>
    <n v="130000"/>
    <n v="165000"/>
    <x v="3"/>
    <n v="12"/>
    <s v="Dec"/>
  </r>
  <r>
    <x v="99"/>
    <x v="99"/>
    <x v="21"/>
    <s v="Kolkata"/>
    <x v="8"/>
    <x v="6"/>
    <n v="1"/>
    <n v="68500"/>
    <n v="49000"/>
    <n v="72000"/>
    <x v="3"/>
    <n v="12"/>
    <s v="Dec"/>
  </r>
  <r>
    <x v="100"/>
    <x v="100"/>
    <x v="22"/>
    <s v="Chennai"/>
    <x v="16"/>
    <x v="4"/>
    <n v="1"/>
    <n v="29900"/>
    <n v="18500"/>
    <n v="32000"/>
    <x v="3"/>
    <n v="12"/>
    <s v="Dec"/>
  </r>
  <r>
    <x v="101"/>
    <x v="101"/>
    <x v="23"/>
    <s v="Jaipur"/>
    <x v="17"/>
    <x v="7"/>
    <n v="1"/>
    <n v="10995"/>
    <n v="8600"/>
    <n v="11000"/>
    <x v="3"/>
    <n v="12"/>
    <s v="De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FFC48-A0D4-44BB-9123-63030330026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s">
  <location ref="A6:M19" firstHeaderRow="1" firstDataRow="2" firstDataCol="1"/>
  <pivotFields count="3">
    <pivotField axis="axisRow" allDrilled="1" subtotalTop="0" showAll="0" measureFilter="1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axis="axisCol" allDrilled="1" subtotalTop="0" showAll="0" dataSourceSort="1" defaultSubtotal="0">
      <items count="11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Order ID" fld="1" subtotal="count" baseField="0" baseItem="0"/>
  </dataFields>
  <formats count="20">
    <format dxfId="124">
      <pivotArea type="all" dataOnly="0" outline="0" fieldPosition="0"/>
    </format>
    <format dxfId="123">
      <pivotArea outline="0" collapsedLevelsAreSubtotals="1" fieldPosition="0"/>
    </format>
    <format dxfId="122">
      <pivotArea type="origin" dataOnly="0" labelOnly="1" outline="0" fieldPosition="0"/>
    </format>
    <format dxfId="121">
      <pivotArea field="2" type="button" dataOnly="0" labelOnly="1" outline="0" axis="axisCol" fieldPosition="0"/>
    </format>
    <format dxfId="120">
      <pivotArea type="topRight" dataOnly="0" labelOnly="1" outline="0" fieldPosition="0"/>
    </format>
    <format dxfId="119">
      <pivotArea field="0" type="button" dataOnly="0" labelOnly="1" outline="0" axis="axisRow" fieldPosition="0"/>
    </format>
    <format dxfId="118">
      <pivotArea dataOnly="0" labelOnly="1" fieldPosition="0">
        <references count="1">
          <reference field="0" count="0"/>
        </references>
      </pivotArea>
    </format>
    <format dxfId="117">
      <pivotArea dataOnly="0" labelOnly="1" grandRow="1" outline="0" fieldPosition="0"/>
    </format>
    <format dxfId="116">
      <pivotArea dataOnly="0" labelOnly="1" fieldPosition="0">
        <references count="1">
          <reference field="2" count="0"/>
        </references>
      </pivotArea>
    </format>
    <format dxfId="115">
      <pivotArea dataOnly="0" labelOnly="1" grandCol="1" outline="0" fieldPosition="0"/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type="origin" dataOnly="0" labelOnly="1" outline="0" fieldPosition="0"/>
    </format>
    <format dxfId="111">
      <pivotArea field="2" type="button" dataOnly="0" labelOnly="1" outline="0" axis="axisCol" fieldPosition="0"/>
    </format>
    <format dxfId="110">
      <pivotArea type="topRight" dataOnly="0" labelOnly="1" outline="0" fieldPosition="0"/>
    </format>
    <format dxfId="109">
      <pivotArea field="0" type="button" dataOnly="0" labelOnly="1" outline="0" axis="axisRow" fieldPosition="0"/>
    </format>
    <format dxfId="108">
      <pivotArea dataOnly="0" labelOnly="1" fieldPosition="0">
        <references count="1">
          <reference field="0" count="0"/>
        </references>
      </pivotArea>
    </format>
    <format dxfId="107">
      <pivotArea dataOnly="0" labelOnly="1" grandRow="1" outline="0" fieldPosition="0"/>
    </format>
    <format dxfId="106">
      <pivotArea dataOnly="0" labelOnly="1" fieldPosition="0">
        <references count="1">
          <reference field="2" count="0"/>
        </references>
      </pivotArea>
    </format>
    <format dxfId="105">
      <pivotArea dataOnly="0" labelOnly="1" grandCol="1" outline="0" fieldPosition="0"/>
    </format>
  </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0" type="valueGreaterThan" id="1" iMeasureHier="15">
      <autoFilter ref="A1">
        <filterColumn colId="0">
          <customFilters>
            <customFilter operator="greaterThan" val="3"/>
          </customFilters>
        </filterColumn>
      </autoFilter>
    </filter>
  </filters>
  <rowHierarchiesUsage count="1">
    <rowHierarchyUsage hierarchyUsage="2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4A146-30AE-4A37-BF68-237964449F1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Quarters">
  <location ref="E5:I10" firstHeaderRow="0" firstDataRow="1" firstDataCol="1"/>
  <pivotFields count="19">
    <pivotField numFmtId="14" showAll="0"/>
    <pivotField dataField="1" showAll="0">
      <items count="1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Revenue (₹)" fld="7" baseField="10" baseItem="0" numFmtId="164"/>
    <dataField name="Order ID of customers" fld="1" subtotal="count" baseField="10" baseItem="0"/>
    <dataField name="Target Revenue " fld="9" baseField="10" baseItem="0" numFmtId="164"/>
    <dataField name="Profit" fld="8" baseField="10" baseItem="0" numFmtId="164"/>
  </dataFields>
  <formats count="16">
    <format dxfId="10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2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101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10" type="button" dataOnly="0" labelOnly="1" outline="0" axis="axisRow" fieldPosition="0"/>
    </format>
    <format dxfId="97">
      <pivotArea dataOnly="0" labelOnly="1" fieldPosition="0">
        <references count="1">
          <reference field="10" count="0"/>
        </references>
      </pivotArea>
    </format>
    <format dxfId="96">
      <pivotArea dataOnly="0" labelOnly="1" grandRow="1" outline="0" fieldPosition="0"/>
    </format>
    <format dxfId="9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10" type="button" dataOnly="0" labelOnly="1" outline="0" axis="axisRow" fieldPosition="0"/>
    </format>
    <format dxfId="91">
      <pivotArea dataOnly="0" labelOnly="1" fieldPosition="0">
        <references count="1">
          <reference field="10" count="0"/>
        </references>
      </pivotArea>
    </format>
    <format dxfId="90">
      <pivotArea dataOnly="0" labelOnly="1" grandRow="1" outline="0" fieldPosition="0"/>
    </format>
    <format dxfId="8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onditionalFormats count="4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</conditionalFormats>
  <chartFormats count="1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3"/>
          </reference>
          <reference field="10" count="1" selected="0">
            <x v="1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3"/>
          </reference>
          <reference field="10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3"/>
          </reference>
          <reference field="10" count="1" selected="0">
            <x v="2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3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6254D-F146-4A16-9183-96FACCE0C0A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ustomer names">
  <location ref="A5:D16" firstHeaderRow="0" firstDataRow="1" firstDataCol="1"/>
  <pivotFields count="19">
    <pivotField numFmtId="14" showAll="0"/>
    <pivotField showAll="0"/>
    <pivotField axis="axisRow" showAll="0" measureFilter="1" sortType="descending">
      <items count="42">
        <item x="23"/>
        <item x="34"/>
        <item x="8"/>
        <item x="7"/>
        <item x="40"/>
        <item x="29"/>
        <item x="14"/>
        <item x="2"/>
        <item x="24"/>
        <item x="11"/>
        <item x="33"/>
        <item x="17"/>
        <item x="32"/>
        <item x="10"/>
        <item x="38"/>
        <item x="3"/>
        <item x="26"/>
        <item x="18"/>
        <item x="27"/>
        <item x="22"/>
        <item x="25"/>
        <item x="5"/>
        <item x="35"/>
        <item x="20"/>
        <item x="12"/>
        <item x="37"/>
        <item x="1"/>
        <item x="0"/>
        <item x="16"/>
        <item x="13"/>
        <item x="30"/>
        <item x="6"/>
        <item x="36"/>
        <item x="9"/>
        <item x="15"/>
        <item x="31"/>
        <item x="39"/>
        <item x="4"/>
        <item x="21"/>
        <item x="19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1">
    <i>
      <x v="25"/>
    </i>
    <i>
      <x v="14"/>
    </i>
    <i>
      <x v="23"/>
    </i>
    <i>
      <x v="39"/>
    </i>
    <i>
      <x v="40"/>
    </i>
    <i>
      <x v="11"/>
    </i>
    <i>
      <x v="36"/>
    </i>
    <i>
      <x v="18"/>
    </i>
    <i>
      <x v="30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 (₹)" fld="7" baseField="0" baseItem="0" numFmtId="165"/>
    <dataField name="% of revenue" fld="7" showDataAs="percentOfTotal" baseField="2" baseItem="25" numFmtId="9"/>
    <dataField name="cum %" fld="7" baseField="2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15">
    <format dxfId="88">
      <pivotArea outline="0" collapsedLevelsAreSubtotals="1" fieldPosition="0"/>
    </format>
    <format dxfId="87">
      <pivotArea outline="0" fieldPosition="0">
        <references count="1">
          <reference field="4294967294" count="1">
            <x v="1"/>
          </reference>
        </references>
      </pivotArea>
    </format>
    <format dxfId="86">
      <pivotArea outline="0" fieldPosition="0">
        <references count="1">
          <reference field="4294967294" count="1">
            <x v="2"/>
          </reference>
        </references>
      </pivotArea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2" type="button" dataOnly="0" labelOnly="1" outline="0" axis="axisRow" fieldPosition="0"/>
    </format>
    <format dxfId="82">
      <pivotArea dataOnly="0" labelOnly="1" fieldPosition="0">
        <references count="1">
          <reference field="2" count="10">
            <x v="11"/>
            <x v="14"/>
            <x v="16"/>
            <x v="18"/>
            <x v="23"/>
            <x v="25"/>
            <x v="30"/>
            <x v="36"/>
            <x v="39"/>
            <x v="40"/>
          </reference>
        </references>
      </pivotArea>
    </format>
    <format dxfId="81">
      <pivotArea dataOnly="0" labelOnly="1" grandRow="1" outline="0" fieldPosition="0"/>
    </format>
    <format dxfId="8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2" type="button" dataOnly="0" labelOnly="1" outline="0" axis="axisRow" fieldPosition="0"/>
    </format>
    <format dxfId="76">
      <pivotArea dataOnly="0" labelOnly="1" fieldPosition="0">
        <references count="1">
          <reference field="2" count="10">
            <x v="11"/>
            <x v="14"/>
            <x v="16"/>
            <x v="18"/>
            <x v="23"/>
            <x v="25"/>
            <x v="30"/>
            <x v="36"/>
            <x v="39"/>
            <x v="40"/>
          </reference>
        </references>
      </pivotArea>
    </format>
    <format dxfId="75">
      <pivotArea dataOnly="0" labelOnly="1" grandRow="1" outline="0" fieldPosition="0"/>
    </format>
    <format dxfId="7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2" selected="0">
              <x v="1"/>
              <x v="2"/>
            </reference>
            <reference field="2" count="10">
              <x v="11"/>
              <x v="14"/>
              <x v="16"/>
              <x v="18"/>
              <x v="23"/>
              <x v="25"/>
              <x v="30"/>
              <x v="36"/>
              <x v="39"/>
              <x v="40"/>
            </reference>
          </references>
        </pivotArea>
      </pivotAreas>
    </conditionalFormat>
    <conditionalFormat priority="2">
      <pivotAreas count="1">
        <pivotArea type="data" outline="0" collapsedLevelsAreSubtotals="1" fieldPosition="0"/>
      </pivotAreas>
    </conditionalFormat>
  </conditionalFormat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B70595-4F87-4BEF-A855-D3EFCD1E6454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ustomer Names">
  <location ref="B6:E28" firstHeaderRow="0" firstDataRow="1" firstDataCol="1"/>
  <pivotFields count="19">
    <pivotField numFmtId="14" showAll="0"/>
    <pivotField showAll="0"/>
    <pivotField showAll="0"/>
    <pivotField showAll="0"/>
    <pivotField axis="axisRow" showAll="0" sortType="descending">
      <items count="22">
        <item x="6"/>
        <item x="18"/>
        <item x="3"/>
        <item x="10"/>
        <item x="4"/>
        <item x="20"/>
        <item x="13"/>
        <item x="0"/>
        <item x="15"/>
        <item x="9"/>
        <item x="5"/>
        <item x="19"/>
        <item x="17"/>
        <item x="2"/>
        <item x="11"/>
        <item x="14"/>
        <item x="1"/>
        <item x="8"/>
        <item x="12"/>
        <item x="7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22">
    <i>
      <x v="14"/>
    </i>
    <i>
      <x v="6"/>
    </i>
    <i>
      <x v="18"/>
    </i>
    <i>
      <x v="3"/>
    </i>
    <i>
      <x v="10"/>
    </i>
    <i>
      <x v="8"/>
    </i>
    <i>
      <x v="2"/>
    </i>
    <i>
      <x v="16"/>
    </i>
    <i>
      <x v="17"/>
    </i>
    <i>
      <x v="13"/>
    </i>
    <i>
      <x v="7"/>
    </i>
    <i>
      <x v="15"/>
    </i>
    <i>
      <x v="4"/>
    </i>
    <i>
      <x v="19"/>
    </i>
    <i>
      <x v="5"/>
    </i>
    <i>
      <x v="9"/>
    </i>
    <i>
      <x v="20"/>
    </i>
    <i>
      <x/>
    </i>
    <i>
      <x v="12"/>
    </i>
    <i>
      <x v="11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arget Revenue " fld="9" baseField="4" baseItem="14"/>
    <dataField name="Actual Revenue (₹)" fld="7" baseField="4" baseItem="14"/>
    <dataField name="Variance (diff)" fld="13" baseField="4" baseItem="14"/>
  </dataFields>
  <formats count="14">
    <format dxfId="73">
      <pivotArea outline="0" collapsedLevelsAreSubtotals="1" fieldPosition="0"/>
    </format>
    <format dxfId="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4" type="button" dataOnly="0" labelOnly="1" outline="0" axis="axisRow" fieldPosition="0"/>
    </format>
    <format dxfId="68">
      <pivotArea dataOnly="0" labelOnly="1" fieldPosition="0">
        <references count="1">
          <reference field="4" count="0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4" type="button" dataOnly="0" labelOnly="1" outline="0" axis="axisRow" fieldPosition="0"/>
    </format>
    <format dxfId="62">
      <pivotArea dataOnly="0" labelOnly="1" fieldPosition="0">
        <references count="1">
          <reference field="4" count="0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3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4" count="2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2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</reference>
          </references>
        </pivotArea>
      </pivotAreas>
    </conditionalFormat>
  </conditionalFormats>
  <chartFormats count="7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1"/>
          </reference>
          <reference field="4" count="1" selected="0">
            <x v="14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1"/>
          </reference>
          <reference field="4" count="1" selected="0">
            <x v="18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65C40-F350-4DB7-9F2F-0745F7537661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Products">
  <location ref="B5:E27" firstHeaderRow="0" firstDataRow="1" firstDataCol="1"/>
  <pivotFields count="19">
    <pivotField numFmtId="14" showAll="0">
      <items count="1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showAll="0"/>
    <pivotField showAll="0"/>
    <pivotField showAll="0"/>
    <pivotField axis="axisRow" showAll="0">
      <items count="22">
        <item x="6"/>
        <item x="18"/>
        <item x="3"/>
        <item x="10"/>
        <item x="4"/>
        <item x="20"/>
        <item x="13"/>
        <item x="0"/>
        <item x="15"/>
        <item x="9"/>
        <item x="5"/>
        <item x="19"/>
        <item x="17"/>
        <item x="2"/>
        <item x="11"/>
        <item x="14"/>
        <item x="1"/>
        <item x="8"/>
        <item x="12"/>
        <item x="7"/>
        <item x="1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 (₹)" fld="7" baseField="0" baseItem="0" numFmtId="165"/>
    <dataField name="Sum of Profit" fld="14" baseField="0" baseItem="0" numFmtId="165"/>
    <dataField name="Average of % of profit" fld="18" subtotal="average" baseField="4" baseItem="0" numFmtId="9"/>
  </dataFields>
  <formats count="14">
    <format dxfId="138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3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6">
      <pivotArea type="all" dataOnly="0" outline="0" fieldPosition="0"/>
    </format>
    <format dxfId="135">
      <pivotArea outline="0" collapsedLevelsAreSubtotals="1" fieldPosition="0"/>
    </format>
    <format dxfId="134">
      <pivotArea field="4" type="button" dataOnly="0" labelOnly="1" outline="0" axis="axisRow" fieldPosition="0"/>
    </format>
    <format dxfId="133">
      <pivotArea dataOnly="0" labelOnly="1" fieldPosition="0">
        <references count="1">
          <reference field="4" count="0"/>
        </references>
      </pivotArea>
    </format>
    <format dxfId="132">
      <pivotArea dataOnly="0" labelOnly="1" grandRow="1" outline="0" fieldPosition="0"/>
    </format>
    <format dxfId="1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4" type="button" dataOnly="0" labelOnly="1" outline="0" axis="axisRow" fieldPosition="0"/>
    </format>
    <format dxfId="127">
      <pivotArea dataOnly="0" labelOnly="1" fieldPosition="0">
        <references count="1">
          <reference field="4" count="0"/>
        </references>
      </pivotArea>
    </format>
    <format dxfId="126">
      <pivotArea dataOnly="0" labelOnly="1" grandRow="1" outline="0" fieldPosition="0"/>
    </format>
    <format dxfId="12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48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2"/>
          </reference>
          <reference field="4" count="1" selected="0">
            <x v="19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2"/>
          </reference>
          <reference field="4" count="1" selected="0">
            <x v="2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2"/>
          </reference>
          <reference field="4" count="1" selected="0">
            <x v="18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1"/>
          </reference>
          <reference field="4" count="1" selected="0">
            <x v="2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1"/>
          </reference>
          <reference field="4" count="1" selected="0">
            <x v="19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1"/>
          </reference>
          <reference field="4" count="1" selected="0">
            <x v="18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2"/>
          </reference>
          <reference field="4" count="1" selected="0">
            <x v="17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2"/>
          </reference>
          <reference field="4" count="1" selected="0">
            <x v="16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1"/>
          </reference>
          <reference field="4" count="1" selected="0">
            <x v="17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1"/>
          </reference>
          <reference field="4" count="1" selected="0">
            <x v="16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2"/>
          </reference>
          <reference field="4" count="1" selected="0">
            <x v="15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1"/>
          </reference>
          <reference field="4" count="1" selected="0">
            <x v="15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2"/>
          </reference>
          <reference field="4" count="1" selected="0">
            <x v="13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7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7" format="34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7" format="35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7" format="36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7" format="37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7" format="38">
      <pivotArea type="data" outline="0" fieldPosition="0">
        <references count="2">
          <reference field="4294967294" count="1" selected="0">
            <x v="1"/>
          </reference>
          <reference field="4" count="1" selected="0">
            <x v="13"/>
          </reference>
        </references>
      </pivotArea>
    </chartFormat>
    <chartFormat chart="7" format="39">
      <pivotArea type="data" outline="0" fieldPosition="0">
        <references count="2">
          <reference field="4294967294" count="1" selected="0">
            <x v="1"/>
          </reference>
          <reference field="4" count="1" selected="0">
            <x v="12"/>
          </reference>
        </references>
      </pivotArea>
    </chartFormat>
    <chartFormat chart="7" format="40">
      <pivotArea type="data" outline="0" fieldPosition="0">
        <references count="2">
          <reference field="4294967294" count="1" selected="0">
            <x v="1"/>
          </reference>
          <reference field="4" count="1" selected="0">
            <x v="11"/>
          </reference>
        </references>
      </pivotArea>
    </chartFormat>
    <chartFormat chart="7" format="41">
      <pivotArea type="data" outline="0" fieldPosition="0">
        <references count="2">
          <reference field="4294967294" count="1" selected="0">
            <x v="1"/>
          </reference>
          <reference field="4" count="1" selected="0">
            <x v="10"/>
          </reference>
        </references>
      </pivotArea>
    </chartFormat>
    <chartFormat chart="7" format="42">
      <pivotArea type="data" outline="0" fieldPosition="0">
        <references count="2">
          <reference field="4294967294" count="1" selected="0">
            <x v="1"/>
          </reference>
          <reference field="4" count="1" selected="0">
            <x v="9"/>
          </reference>
        </references>
      </pivotArea>
    </chartFormat>
    <chartFormat chart="7" format="43">
      <pivotArea type="data" outline="0" fieldPosition="0">
        <references count="2">
          <reference field="4294967294" count="1" selected="0">
            <x v="1"/>
          </reference>
          <reference field="4" count="1" selected="0">
            <x v="8"/>
          </reference>
        </references>
      </pivotArea>
    </chartFormat>
    <chartFormat chart="7" format="44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7" format="45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7" format="46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7" format="47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7431DF-F78E-4A92-A3AD-23E4DFED7CC3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Products">
  <location ref="B5:D27" firstHeaderRow="0" firstDataRow="1" firstDataCol="1"/>
  <pivotFields count="19">
    <pivotField numFmtId="14" showAll="0"/>
    <pivotField showAll="0"/>
    <pivotField showAll="0"/>
    <pivotField showAll="0"/>
    <pivotField axis="axisRow" showAll="0" sortType="descending">
      <items count="22">
        <item x="6"/>
        <item x="18"/>
        <item x="3"/>
        <item x="10"/>
        <item x="4"/>
        <item x="20"/>
        <item x="13"/>
        <item x="0"/>
        <item x="15"/>
        <item x="9"/>
        <item x="5"/>
        <item x="19"/>
        <item x="17"/>
        <item x="2"/>
        <item x="11"/>
        <item x="14"/>
        <item x="1"/>
        <item x="8"/>
        <item x="12"/>
        <item x="7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22">
    <i>
      <x v="6"/>
    </i>
    <i>
      <x v="14"/>
    </i>
    <i>
      <x v="3"/>
    </i>
    <i>
      <x v="18"/>
    </i>
    <i>
      <x v="10"/>
    </i>
    <i>
      <x v="8"/>
    </i>
    <i>
      <x v="16"/>
    </i>
    <i>
      <x v="2"/>
    </i>
    <i>
      <x v="17"/>
    </i>
    <i>
      <x v="13"/>
    </i>
    <i>
      <x v="7"/>
    </i>
    <i>
      <x v="15"/>
    </i>
    <i>
      <x v="4"/>
    </i>
    <i>
      <x v="19"/>
    </i>
    <i>
      <x v="5"/>
    </i>
    <i>
      <x v="9"/>
    </i>
    <i>
      <x v="20"/>
    </i>
    <i>
      <x/>
    </i>
    <i>
      <x v="12"/>
    </i>
    <i>
      <x v="11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(₹)" fld="7" baseField="0" baseItem="0"/>
    <dataField name="Sum of Units" fld="6" baseField="0" baseItem="0"/>
  </dataFields>
  <formats count="12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4" type="button" dataOnly="0" labelOnly="1" outline="0" axis="axisRow" fieldPosition="0"/>
    </format>
    <format dxfId="56">
      <pivotArea dataOnly="0" labelOnly="1" fieldPosition="0">
        <references count="1">
          <reference field="4" count="0"/>
        </references>
      </pivotArea>
    </format>
    <format dxfId="55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4" type="button" dataOnly="0" labelOnly="1" outline="0" axis="axisRow" fieldPosition="0"/>
    </format>
    <format dxfId="50">
      <pivotArea dataOnly="0" labelOnly="1" fieldPosition="0">
        <references count="1">
          <reference field="4" count="0"/>
        </references>
      </pivotArea>
    </format>
    <format dxfId="49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3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15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5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5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15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15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1FF661-2DFE-401D-8D51-5389EE561533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Products">
  <location ref="B7:D16" firstHeaderRow="0" firstDataRow="1" firstDataCol="1"/>
  <pivotFields count="19">
    <pivotField numFmtId="14" showAll="0"/>
    <pivotField showAll="0"/>
    <pivotField showAll="0"/>
    <pivotField showAll="0"/>
    <pivotField showAll="0"/>
    <pivotField axis="axisRow" showAll="0" sortType="descending">
      <items count="9">
        <item x="7"/>
        <item x="4"/>
        <item x="5"/>
        <item x="1"/>
        <item x="0"/>
        <item x="6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9">
    <i>
      <x v="3"/>
    </i>
    <i>
      <x v="4"/>
    </i>
    <i>
      <x v="6"/>
    </i>
    <i>
      <x v="7"/>
    </i>
    <i>
      <x v="5"/>
    </i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(₹)" fld="7" baseField="0" baseItem="0" numFmtId="165"/>
    <dataField name="% of share" fld="7" showDataAs="percentOfTotal" baseField="0" baseItem="0" numFmtId="10"/>
  </dataFields>
  <formats count="13">
    <format dxfId="4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5" type="button" dataOnly="0" labelOnly="1" outline="0" axis="axisRow" fieldPosition="0"/>
    </format>
    <format dxfId="43">
      <pivotArea dataOnly="0" labelOnly="1" fieldPosition="0">
        <references count="1">
          <reference field="5" count="0"/>
        </references>
      </pivotArea>
    </format>
    <format dxfId="42">
      <pivotArea dataOnly="0" labelOnly="1" grandRow="1" outline="0" fieldPosition="0"/>
    </format>
    <format dxfId="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5" type="button" dataOnly="0" labelOnly="1" outline="0" axis="axisRow" fieldPosition="0"/>
    </format>
    <format dxfId="37">
      <pivotArea dataOnly="0" labelOnly="1" fieldPosition="0">
        <references count="1">
          <reference field="5" count="0"/>
        </references>
      </pivotArea>
    </format>
    <format dxfId="36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2">
      <pivotAreas count="1">
        <pivotArea type="data" outline="0" collapsedLevelsAreSubtotals="1" fieldPosition="0"/>
      </pivotAreas>
    </conditionalFormat>
  </conditionalFormats>
  <chartFormats count="18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1"/>
          </reference>
          <reference field="5" count="1" selected="0">
            <x v="3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1"/>
          </reference>
          <reference field="5" count="1" selected="0">
            <x v="4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1"/>
          </reference>
          <reference field="5" count="1" selected="0">
            <x v="6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1"/>
          </reference>
          <reference field="5" count="1" selected="0">
            <x v="7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1"/>
          </reference>
          <reference field="5" count="1" selected="0">
            <x v="5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DF62088-7C22-43D1-A4A5-F618353D9E58}" autoFormatId="16" applyNumberFormats="0" applyBorderFormats="0" applyFontFormats="0" applyPatternFormats="0" applyAlignmentFormats="0" applyWidthHeightFormats="0">
  <queryTableRefresh nextId="14">
    <queryTableFields count="13">
      <queryTableField id="1" name="Order Date" tableColumnId="1"/>
      <queryTableField id="2" name="Order ID" tableColumnId="2"/>
      <queryTableField id="3" name="Customer Name" tableColumnId="3"/>
      <queryTableField id="4" name="City" tableColumnId="4"/>
      <queryTableField id="5" name="Product" tableColumnId="5"/>
      <queryTableField id="6" name="Category" tableColumnId="6"/>
      <queryTableField id="7" name="Units" tableColumnId="7"/>
      <queryTableField id="8" name="Revenue (₹)" tableColumnId="8"/>
      <queryTableField id="9" name="Cost (₹)" tableColumnId="9"/>
      <queryTableField id="10" name="Target Revenue (₹)" tableColumnId="10"/>
      <queryTableField id="11" name="Quarter" tableColumnId="11"/>
      <queryTableField id="12" name="Order Date (Month Index)" tableColumnId="12"/>
      <queryTableField id="13" name="Order Date (Month)" tableColumnId="13"/>
    </queryTableFields>
  </queryTableRefresh>
  <extLst>
    <ext xmlns:x15="http://schemas.microsoft.com/office/spreadsheetml/2010/11/main" uri="{883FBD77-0823-4a55-B5E3-86C4891E6966}">
      <x15:queryTable sourceDataName="Query - Data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7E5E7-E191-4AB6-BC82-212325D9070E}" name="Table1" displayName="Table1" ref="A1:A106" totalsRowShown="0">
  <autoFilter ref="A1:A106" xr:uid="{AE57E5E7-E191-4AB6-BC82-212325D9070E}"/>
  <tableColumns count="1">
    <tableColumn id="1" xr3:uid="{40EC8F7A-517F-4F57-BB42-E42930ADBA2C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9D106F-9EAA-4C2E-875A-16B8476A3803}" name="Data4" displayName="Data4" ref="A1:M105" tableType="queryTable" totalsRowShown="0">
  <autoFilter ref="A1:M105" xr:uid="{6F9D106F-9EAA-4C2E-875A-16B8476A3803}"/>
  <tableColumns count="13">
    <tableColumn id="1" xr3:uid="{A354D8D0-F43B-4D91-8654-E1A9AE1E306A}" uniqueName="1" name="Order Date" queryTableFieldId="1" dataDxfId="34"/>
    <tableColumn id="2" xr3:uid="{AB8ABAEF-105A-4450-BEAB-34BB1982026C}" uniqueName="2" name="Order ID" queryTableFieldId="2" dataDxfId="33"/>
    <tableColumn id="3" xr3:uid="{BAAAF563-9060-40DC-82CF-FA26E421E7B8}" uniqueName="3" name="Customer Name" queryTableFieldId="3" dataDxfId="32"/>
    <tableColumn id="4" xr3:uid="{D6BE187F-23BC-4B17-A6A8-E85ABA4A9766}" uniqueName="4" name="City" queryTableFieldId="4" dataDxfId="31"/>
    <tableColumn id="5" xr3:uid="{E8F0015A-DD37-4B1B-9212-52A2A84211CD}" uniqueName="5" name="Product" queryTableFieldId="5" dataDxfId="30"/>
    <tableColumn id="6" xr3:uid="{B2E5E346-E376-441F-AAE8-11DBF334691E}" uniqueName="6" name="Category" queryTableFieldId="6" dataDxfId="29"/>
    <tableColumn id="7" xr3:uid="{E60A7EE9-DFFD-4D43-9B25-0F2387DC002D}" uniqueName="7" name="Units" queryTableFieldId="7"/>
    <tableColumn id="8" xr3:uid="{F740B5A6-4EC8-4C76-A2F6-A9F7CE3C9370}" uniqueName="8" name="Revenue (₹)" queryTableFieldId="8"/>
    <tableColumn id="9" xr3:uid="{F6E7C39C-FE0D-4DE5-8E21-324ECCE11663}" uniqueName="9" name="Cost (₹)" queryTableFieldId="9"/>
    <tableColumn id="10" xr3:uid="{C0C1F192-91BD-4ED2-BB18-E9BE52E1A578}" uniqueName="10" name="Target Revenue (₹)" queryTableFieldId="10"/>
    <tableColumn id="11" xr3:uid="{247B70EE-1C8E-41D7-A531-2F66BFFB21DE}" uniqueName="11" name="Quarter" queryTableFieldId="11"/>
    <tableColumn id="12" xr3:uid="{F2497F4F-1510-4A4B-98B5-8E5FF905F704}" uniqueName="12" name="Order Date (Month Index)" queryTableFieldId="12"/>
    <tableColumn id="13" xr3:uid="{52E7733B-CE9F-4706-9278-EFC5284C053D}" uniqueName="13" name="Order Date (Month)" queryTableField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CA994D-ADD1-4AB9-8AD1-A61AB719E7D7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0d944b03-a099-4d4e-8a74-d3261c94b20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03C1-531E-457D-AF30-16C570B0D02C}">
  <dimension ref="A1:A106"/>
  <sheetViews>
    <sheetView tabSelected="1" workbookViewId="0">
      <selection activeCell="Q4" sqref="Q4"/>
    </sheetView>
  </sheetViews>
  <sheetFormatPr defaultRowHeight="14.4" x14ac:dyDescent="0.3"/>
  <cols>
    <col min="1" max="1" width="10.44140625" customWidth="1"/>
  </cols>
  <sheetData>
    <row r="1" spans="1:1" x14ac:dyDescent="0.3">
      <c r="A1" t="s">
        <v>104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53</v>
      </c>
    </row>
    <row r="58" spans="1:1" x14ac:dyDescent="0.3">
      <c r="A58" t="s">
        <v>55</v>
      </c>
    </row>
    <row r="59" spans="1:1" x14ac:dyDescent="0.3">
      <c r="A59" t="s">
        <v>56</v>
      </c>
    </row>
    <row r="60" spans="1:1" x14ac:dyDescent="0.3">
      <c r="A60" t="s">
        <v>57</v>
      </c>
    </row>
    <row r="61" spans="1:1" x14ac:dyDescent="0.3">
      <c r="A61" t="s">
        <v>58</v>
      </c>
    </row>
    <row r="62" spans="1:1" x14ac:dyDescent="0.3">
      <c r="A62" t="s">
        <v>59</v>
      </c>
    </row>
    <row r="63" spans="1:1" x14ac:dyDescent="0.3">
      <c r="A63" t="s">
        <v>60</v>
      </c>
    </row>
    <row r="64" spans="1:1" x14ac:dyDescent="0.3">
      <c r="A64" t="s">
        <v>61</v>
      </c>
    </row>
    <row r="65" spans="1:1" x14ac:dyDescent="0.3">
      <c r="A65" t="s">
        <v>62</v>
      </c>
    </row>
    <row r="66" spans="1:1" x14ac:dyDescent="0.3">
      <c r="A66" t="s">
        <v>63</v>
      </c>
    </row>
    <row r="67" spans="1:1" x14ac:dyDescent="0.3">
      <c r="A67" t="s">
        <v>64</v>
      </c>
    </row>
    <row r="68" spans="1:1" x14ac:dyDescent="0.3">
      <c r="A68" t="s">
        <v>65</v>
      </c>
    </row>
    <row r="69" spans="1:1" x14ac:dyDescent="0.3">
      <c r="A69" t="s">
        <v>66</v>
      </c>
    </row>
    <row r="70" spans="1:1" x14ac:dyDescent="0.3">
      <c r="A70" t="s">
        <v>67</v>
      </c>
    </row>
    <row r="71" spans="1:1" x14ac:dyDescent="0.3">
      <c r="A71" t="s">
        <v>68</v>
      </c>
    </row>
    <row r="72" spans="1:1" x14ac:dyDescent="0.3">
      <c r="A72" t="s">
        <v>69</v>
      </c>
    </row>
    <row r="73" spans="1:1" x14ac:dyDescent="0.3">
      <c r="A73" t="s">
        <v>70</v>
      </c>
    </row>
    <row r="74" spans="1:1" x14ac:dyDescent="0.3">
      <c r="A74" t="s">
        <v>71</v>
      </c>
    </row>
    <row r="75" spans="1:1" x14ac:dyDescent="0.3">
      <c r="A75" t="s">
        <v>72</v>
      </c>
    </row>
    <row r="76" spans="1:1" x14ac:dyDescent="0.3">
      <c r="A76" t="s">
        <v>73</v>
      </c>
    </row>
    <row r="77" spans="1:1" x14ac:dyDescent="0.3">
      <c r="A77" t="s">
        <v>74</v>
      </c>
    </row>
    <row r="78" spans="1:1" x14ac:dyDescent="0.3">
      <c r="A78" t="s">
        <v>75</v>
      </c>
    </row>
    <row r="79" spans="1:1" x14ac:dyDescent="0.3">
      <c r="A79" t="s">
        <v>76</v>
      </c>
    </row>
    <row r="80" spans="1:1" x14ac:dyDescent="0.3">
      <c r="A80" t="s">
        <v>77</v>
      </c>
    </row>
    <row r="81" spans="1:1" x14ac:dyDescent="0.3">
      <c r="A81" t="s">
        <v>78</v>
      </c>
    </row>
    <row r="82" spans="1:1" x14ac:dyDescent="0.3">
      <c r="A82" t="s">
        <v>79</v>
      </c>
    </row>
    <row r="83" spans="1:1" x14ac:dyDescent="0.3">
      <c r="A83" t="s">
        <v>80</v>
      </c>
    </row>
    <row r="84" spans="1:1" x14ac:dyDescent="0.3">
      <c r="A84" t="s">
        <v>81</v>
      </c>
    </row>
    <row r="85" spans="1:1" x14ac:dyDescent="0.3">
      <c r="A85" t="s">
        <v>82</v>
      </c>
    </row>
    <row r="86" spans="1:1" x14ac:dyDescent="0.3">
      <c r="A86" t="s">
        <v>83</v>
      </c>
    </row>
    <row r="87" spans="1:1" x14ac:dyDescent="0.3">
      <c r="A87" t="s">
        <v>84</v>
      </c>
    </row>
    <row r="88" spans="1:1" x14ac:dyDescent="0.3">
      <c r="A88" t="s">
        <v>85</v>
      </c>
    </row>
    <row r="89" spans="1:1" x14ac:dyDescent="0.3">
      <c r="A89" t="s">
        <v>86</v>
      </c>
    </row>
    <row r="90" spans="1:1" x14ac:dyDescent="0.3">
      <c r="A90" t="s">
        <v>87</v>
      </c>
    </row>
    <row r="91" spans="1:1" x14ac:dyDescent="0.3">
      <c r="A91" t="s">
        <v>88</v>
      </c>
    </row>
    <row r="92" spans="1:1" x14ac:dyDescent="0.3">
      <c r="A92" t="s">
        <v>89</v>
      </c>
    </row>
    <row r="93" spans="1:1" x14ac:dyDescent="0.3">
      <c r="A93" t="s">
        <v>90</v>
      </c>
    </row>
    <row r="94" spans="1:1" x14ac:dyDescent="0.3">
      <c r="A94" t="s">
        <v>91</v>
      </c>
    </row>
    <row r="95" spans="1:1" x14ac:dyDescent="0.3">
      <c r="A95" t="s">
        <v>92</v>
      </c>
    </row>
    <row r="96" spans="1:1" x14ac:dyDescent="0.3">
      <c r="A96" t="s">
        <v>93</v>
      </c>
    </row>
    <row r="97" spans="1:1" x14ac:dyDescent="0.3">
      <c r="A97" t="s">
        <v>94</v>
      </c>
    </row>
    <row r="98" spans="1:1" x14ac:dyDescent="0.3">
      <c r="A98" t="s">
        <v>95</v>
      </c>
    </row>
    <row r="99" spans="1:1" x14ac:dyDescent="0.3">
      <c r="A99" t="s">
        <v>96</v>
      </c>
    </row>
    <row r="100" spans="1:1" x14ac:dyDescent="0.3">
      <c r="A100" t="s">
        <v>97</v>
      </c>
    </row>
    <row r="101" spans="1:1" x14ac:dyDescent="0.3">
      <c r="A101" t="s">
        <v>98</v>
      </c>
    </row>
    <row r="102" spans="1:1" x14ac:dyDescent="0.3">
      <c r="A102" t="s">
        <v>99</v>
      </c>
    </row>
    <row r="103" spans="1:1" x14ac:dyDescent="0.3">
      <c r="A103" t="s">
        <v>100</v>
      </c>
    </row>
    <row r="104" spans="1:1" x14ac:dyDescent="0.3">
      <c r="A104" t="s">
        <v>101</v>
      </c>
    </row>
    <row r="105" spans="1:1" x14ac:dyDescent="0.3">
      <c r="A105" t="s">
        <v>102</v>
      </c>
    </row>
    <row r="106" spans="1:1" x14ac:dyDescent="0.3">
      <c r="A106" t="s">
        <v>103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645C-15DA-44F6-B03F-50584B661480}">
  <dimension ref="A2:Q21"/>
  <sheetViews>
    <sheetView workbookViewId="0">
      <selection activeCell="M2" sqref="M2:Q3"/>
    </sheetView>
  </sheetViews>
  <sheetFormatPr defaultRowHeight="14.4" x14ac:dyDescent="0.3"/>
  <cols>
    <col min="1" max="1" width="15.88671875" bestFit="1" customWidth="1"/>
    <col min="2" max="2" width="3.77734375" bestFit="1" customWidth="1"/>
    <col min="3" max="3" width="4.44140625" bestFit="1" customWidth="1"/>
    <col min="4" max="4" width="4" bestFit="1" customWidth="1"/>
    <col min="5" max="5" width="4.77734375" bestFit="1" customWidth="1"/>
    <col min="6" max="6" width="3.88671875" bestFit="1" customWidth="1"/>
    <col min="7" max="7" width="3.21875" bestFit="1" customWidth="1"/>
    <col min="8" max="8" width="4.33203125" bestFit="1" customWidth="1"/>
    <col min="9" max="9" width="4.109375" bestFit="1" customWidth="1"/>
    <col min="10" max="10" width="3.88671875" bestFit="1" customWidth="1"/>
    <col min="11" max="11" width="4.44140625" bestFit="1" customWidth="1"/>
    <col min="12" max="12" width="4.109375" bestFit="1" customWidth="1"/>
    <col min="13" max="14" width="10.77734375" bestFit="1" customWidth="1"/>
    <col min="15" max="103" width="10.33203125" bestFit="1" customWidth="1"/>
    <col min="104" max="104" width="10.77734375" bestFit="1" customWidth="1"/>
  </cols>
  <sheetData>
    <row r="2" spans="1:17" x14ac:dyDescent="0.3">
      <c r="M2" s="12" t="s">
        <v>338</v>
      </c>
      <c r="N2" s="12"/>
      <c r="O2" s="12"/>
      <c r="P2" s="12"/>
      <c r="Q2" s="12"/>
    </row>
    <row r="3" spans="1:17" x14ac:dyDescent="0.3">
      <c r="M3" s="12"/>
      <c r="N3" s="12"/>
      <c r="O3" s="12"/>
      <c r="P3" s="12"/>
      <c r="Q3" s="12"/>
    </row>
    <row r="6" spans="1:17" x14ac:dyDescent="0.3">
      <c r="A6" s="2" t="s">
        <v>299</v>
      </c>
      <c r="B6" s="2" t="s">
        <v>300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7" x14ac:dyDescent="0.3">
      <c r="A7" s="2" t="s">
        <v>339</v>
      </c>
      <c r="B7" s="3" t="s">
        <v>303</v>
      </c>
      <c r="C7" s="3" t="s">
        <v>305</v>
      </c>
      <c r="D7" s="3" t="s">
        <v>306</v>
      </c>
      <c r="E7" s="3" t="s">
        <v>307</v>
      </c>
      <c r="F7" s="3" t="s">
        <v>308</v>
      </c>
      <c r="G7" s="3" t="s">
        <v>309</v>
      </c>
      <c r="H7" s="3" t="s">
        <v>310</v>
      </c>
      <c r="I7" s="3" t="s">
        <v>311</v>
      </c>
      <c r="J7" s="3" t="s">
        <v>312</v>
      </c>
      <c r="K7" s="3" t="s">
        <v>313</v>
      </c>
      <c r="L7" s="3" t="s">
        <v>314</v>
      </c>
      <c r="M7" s="3" t="s">
        <v>298</v>
      </c>
    </row>
    <row r="8" spans="1:17" x14ac:dyDescent="0.3">
      <c r="A8" s="3" t="s">
        <v>197</v>
      </c>
      <c r="B8" s="3"/>
      <c r="C8" s="3">
        <v>1</v>
      </c>
      <c r="D8" s="3"/>
      <c r="E8" s="3"/>
      <c r="F8" s="3">
        <v>1</v>
      </c>
      <c r="G8" s="3"/>
      <c r="H8" s="3"/>
      <c r="I8" s="3">
        <v>1</v>
      </c>
      <c r="J8" s="3"/>
      <c r="K8" s="3"/>
      <c r="L8" s="3">
        <v>1</v>
      </c>
      <c r="M8" s="3">
        <v>4</v>
      </c>
    </row>
    <row r="9" spans="1:17" x14ac:dyDescent="0.3">
      <c r="A9" s="3" t="s">
        <v>183</v>
      </c>
      <c r="B9" s="3"/>
      <c r="C9" s="3">
        <v>1</v>
      </c>
      <c r="D9" s="3"/>
      <c r="E9" s="3"/>
      <c r="F9" s="3">
        <v>1</v>
      </c>
      <c r="G9" s="3"/>
      <c r="H9" s="3"/>
      <c r="I9" s="3">
        <v>1</v>
      </c>
      <c r="J9" s="3"/>
      <c r="K9" s="3"/>
      <c r="L9" s="3">
        <v>1</v>
      </c>
      <c r="M9" s="3">
        <v>4</v>
      </c>
    </row>
    <row r="10" spans="1:17" x14ac:dyDescent="0.3">
      <c r="A10" s="3" t="s">
        <v>207</v>
      </c>
      <c r="B10" s="3"/>
      <c r="C10" s="3"/>
      <c r="D10" s="3">
        <v>1</v>
      </c>
      <c r="E10" s="3"/>
      <c r="F10" s="3"/>
      <c r="G10" s="3">
        <v>2</v>
      </c>
      <c r="H10" s="3"/>
      <c r="I10" s="3"/>
      <c r="J10" s="3">
        <v>1</v>
      </c>
      <c r="K10" s="3"/>
      <c r="L10" s="3"/>
      <c r="M10" s="3">
        <v>4</v>
      </c>
    </row>
    <row r="11" spans="1:17" x14ac:dyDescent="0.3">
      <c r="A11" s="3" t="s">
        <v>185</v>
      </c>
      <c r="B11" s="3"/>
      <c r="C11" s="3">
        <v>1</v>
      </c>
      <c r="D11" s="3"/>
      <c r="E11" s="3"/>
      <c r="F11" s="3">
        <v>1</v>
      </c>
      <c r="G11" s="3"/>
      <c r="H11" s="3"/>
      <c r="I11" s="3">
        <v>1</v>
      </c>
      <c r="J11" s="3"/>
      <c r="K11" s="3"/>
      <c r="L11" s="3">
        <v>1</v>
      </c>
      <c r="M11" s="3">
        <v>4</v>
      </c>
    </row>
    <row r="12" spans="1:17" x14ac:dyDescent="0.3">
      <c r="A12" s="3" t="s">
        <v>210</v>
      </c>
      <c r="B12" s="3"/>
      <c r="C12" s="3"/>
      <c r="D12" s="3">
        <v>1</v>
      </c>
      <c r="E12" s="3"/>
      <c r="F12" s="3"/>
      <c r="G12" s="3">
        <v>2</v>
      </c>
      <c r="H12" s="3"/>
      <c r="I12" s="3"/>
      <c r="J12" s="3">
        <v>1</v>
      </c>
      <c r="K12" s="3"/>
      <c r="L12" s="3"/>
      <c r="M12" s="3">
        <v>4</v>
      </c>
    </row>
    <row r="13" spans="1:17" x14ac:dyDescent="0.3">
      <c r="A13" s="3" t="s">
        <v>194</v>
      </c>
      <c r="B13" s="3"/>
      <c r="C13" s="3">
        <v>1</v>
      </c>
      <c r="D13" s="3"/>
      <c r="E13" s="3"/>
      <c r="F13" s="3">
        <v>1</v>
      </c>
      <c r="G13" s="3"/>
      <c r="H13" s="3"/>
      <c r="I13" s="3">
        <v>1</v>
      </c>
      <c r="J13" s="3"/>
      <c r="K13" s="3"/>
      <c r="L13" s="3">
        <v>1</v>
      </c>
      <c r="M13" s="3">
        <v>4</v>
      </c>
    </row>
    <row r="14" spans="1:17" x14ac:dyDescent="0.3">
      <c r="A14" s="3" t="s">
        <v>140</v>
      </c>
      <c r="B14" s="3">
        <v>1</v>
      </c>
      <c r="C14" s="3"/>
      <c r="D14" s="3"/>
      <c r="E14" s="3">
        <v>1</v>
      </c>
      <c r="F14" s="3"/>
      <c r="G14" s="3"/>
      <c r="H14" s="3">
        <v>1</v>
      </c>
      <c r="I14" s="3"/>
      <c r="J14" s="3"/>
      <c r="K14" s="3">
        <v>1</v>
      </c>
      <c r="L14" s="3"/>
      <c r="M14" s="3">
        <v>4</v>
      </c>
    </row>
    <row r="15" spans="1:17" x14ac:dyDescent="0.3">
      <c r="A15" s="3" t="s">
        <v>189</v>
      </c>
      <c r="B15" s="3"/>
      <c r="C15" s="3">
        <v>1</v>
      </c>
      <c r="D15" s="3"/>
      <c r="E15" s="3"/>
      <c r="F15" s="3">
        <v>1</v>
      </c>
      <c r="G15" s="3"/>
      <c r="H15" s="3"/>
      <c r="I15" s="3">
        <v>1</v>
      </c>
      <c r="J15" s="3"/>
      <c r="K15" s="3"/>
      <c r="L15" s="3">
        <v>1</v>
      </c>
      <c r="M15" s="3">
        <v>4</v>
      </c>
    </row>
    <row r="16" spans="1:17" x14ac:dyDescent="0.3">
      <c r="A16" s="3" t="s">
        <v>181</v>
      </c>
      <c r="B16" s="3"/>
      <c r="C16" s="3">
        <v>1</v>
      </c>
      <c r="D16" s="3"/>
      <c r="E16" s="3"/>
      <c r="F16" s="3">
        <v>1</v>
      </c>
      <c r="G16" s="3"/>
      <c r="H16" s="3"/>
      <c r="I16" s="3">
        <v>1</v>
      </c>
      <c r="J16" s="3"/>
      <c r="K16" s="3"/>
      <c r="L16" s="3">
        <v>1</v>
      </c>
      <c r="M16" s="3">
        <v>4</v>
      </c>
    </row>
    <row r="17" spans="1:13" x14ac:dyDescent="0.3">
      <c r="A17" s="3" t="s">
        <v>192</v>
      </c>
      <c r="B17" s="3"/>
      <c r="C17" s="3">
        <v>1</v>
      </c>
      <c r="D17" s="3"/>
      <c r="E17" s="3"/>
      <c r="F17" s="3">
        <v>1</v>
      </c>
      <c r="G17" s="3"/>
      <c r="H17" s="3"/>
      <c r="I17" s="3">
        <v>1</v>
      </c>
      <c r="J17" s="3"/>
      <c r="K17" s="3"/>
      <c r="L17" s="3">
        <v>1</v>
      </c>
      <c r="M17" s="3">
        <v>4</v>
      </c>
    </row>
    <row r="18" spans="1:13" x14ac:dyDescent="0.3">
      <c r="A18" s="3" t="s">
        <v>187</v>
      </c>
      <c r="B18" s="3"/>
      <c r="C18" s="3">
        <v>1</v>
      </c>
      <c r="D18" s="3"/>
      <c r="E18" s="3"/>
      <c r="F18" s="3">
        <v>1</v>
      </c>
      <c r="G18" s="3"/>
      <c r="H18" s="3"/>
      <c r="I18" s="3">
        <v>1</v>
      </c>
      <c r="J18" s="3"/>
      <c r="K18" s="3"/>
      <c r="L18" s="3">
        <v>1</v>
      </c>
      <c r="M18" s="3">
        <v>4</v>
      </c>
    </row>
    <row r="19" spans="1:13" x14ac:dyDescent="0.3">
      <c r="A19" s="3" t="s">
        <v>298</v>
      </c>
      <c r="B19" s="3">
        <v>1</v>
      </c>
      <c r="C19" s="3">
        <v>8</v>
      </c>
      <c r="D19" s="3">
        <v>2</v>
      </c>
      <c r="E19" s="3">
        <v>1</v>
      </c>
      <c r="F19" s="3">
        <v>8</v>
      </c>
      <c r="G19" s="3">
        <v>4</v>
      </c>
      <c r="H19" s="3">
        <v>1</v>
      </c>
      <c r="I19" s="3">
        <v>8</v>
      </c>
      <c r="J19" s="3">
        <v>2</v>
      </c>
      <c r="K19" s="3">
        <v>1</v>
      </c>
      <c r="L19" s="3">
        <v>8</v>
      </c>
      <c r="M19" s="3">
        <v>44</v>
      </c>
    </row>
    <row r="20" spans="1:13" x14ac:dyDescent="0.3">
      <c r="A20" s="4" t="s">
        <v>298</v>
      </c>
      <c r="B20" s="4">
        <v>1</v>
      </c>
      <c r="C20" s="4">
        <v>8</v>
      </c>
      <c r="D20" s="4">
        <v>2</v>
      </c>
      <c r="E20" s="4">
        <v>1</v>
      </c>
      <c r="F20" s="4">
        <v>8</v>
      </c>
      <c r="G20" s="4">
        <v>4</v>
      </c>
      <c r="H20" s="4">
        <v>1</v>
      </c>
      <c r="I20" s="4">
        <v>8</v>
      </c>
      <c r="J20" s="4">
        <v>2</v>
      </c>
      <c r="K20" s="4">
        <v>1</v>
      </c>
      <c r="L20" s="4">
        <v>8</v>
      </c>
      <c r="M20" s="4">
        <v>44</v>
      </c>
    </row>
    <row r="21" spans="1:13" x14ac:dyDescent="0.3">
      <c r="B21" s="4" t="s">
        <v>303</v>
      </c>
      <c r="C21" s="4" t="s">
        <v>305</v>
      </c>
      <c r="D21" s="4" t="s">
        <v>306</v>
      </c>
      <c r="E21" s="4" t="s">
        <v>307</v>
      </c>
      <c r="F21" s="4" t="s">
        <v>308</v>
      </c>
      <c r="G21" s="4" t="s">
        <v>309</v>
      </c>
      <c r="H21" s="4" t="s">
        <v>310</v>
      </c>
      <c r="I21" s="4" t="s">
        <v>311</v>
      </c>
      <c r="J21" s="4" t="s">
        <v>312</v>
      </c>
      <c r="K21" s="4" t="s">
        <v>313</v>
      </c>
      <c r="L21" s="4" t="s">
        <v>314</v>
      </c>
    </row>
  </sheetData>
  <mergeCells count="1">
    <mergeCell ref="M2:Q3"/>
  </mergeCells>
  <conditionalFormatting sqref="B8:M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F9C25-955D-4344-91F7-D6BF525D9792}">
  <dimension ref="C1:M105"/>
  <sheetViews>
    <sheetView workbookViewId="0">
      <selection activeCell="E2" sqref="E2:I3"/>
    </sheetView>
  </sheetViews>
  <sheetFormatPr defaultRowHeight="14.4" x14ac:dyDescent="0.3"/>
  <cols>
    <col min="1" max="1" width="12.6640625" bestFit="1" customWidth="1"/>
    <col min="2" max="2" width="15.88671875" bestFit="1" customWidth="1"/>
    <col min="3" max="3" width="19.5546875" bestFit="1" customWidth="1"/>
    <col min="4" max="4" width="14.77734375" bestFit="1" customWidth="1"/>
    <col min="5" max="5" width="12.6640625" bestFit="1" customWidth="1"/>
    <col min="6" max="6" width="15.88671875" bestFit="1" customWidth="1"/>
    <col min="7" max="7" width="19.5546875" bestFit="1" customWidth="1"/>
    <col min="8" max="8" width="14.77734375" bestFit="1" customWidth="1"/>
    <col min="9" max="10" width="13.21875" bestFit="1" customWidth="1"/>
    <col min="11" max="11" width="9.6640625" bestFit="1" customWidth="1"/>
    <col min="12" max="12" width="25.33203125" bestFit="1" customWidth="1"/>
    <col min="13" max="13" width="20.109375" bestFit="1" customWidth="1"/>
  </cols>
  <sheetData>
    <row r="1" spans="4:13" x14ac:dyDescent="0.3">
      <c r="F1" s="5"/>
      <c r="G1" s="5"/>
      <c r="H1" s="5"/>
      <c r="I1" s="5"/>
      <c r="J1" s="5"/>
      <c r="K1" s="5"/>
      <c r="L1" s="5"/>
      <c r="M1" s="5"/>
    </row>
    <row r="2" spans="4:13" x14ac:dyDescent="0.3">
      <c r="E2" s="12" t="s">
        <v>336</v>
      </c>
      <c r="F2" s="12"/>
      <c r="G2" s="12"/>
      <c r="H2" s="12"/>
      <c r="I2" s="12"/>
      <c r="J2" s="5"/>
      <c r="K2" s="5"/>
      <c r="L2" s="5"/>
      <c r="M2" s="5"/>
    </row>
    <row r="3" spans="4:13" x14ac:dyDescent="0.3">
      <c r="E3" s="12"/>
      <c r="F3" s="12"/>
      <c r="G3" s="12"/>
      <c r="H3" s="12"/>
      <c r="I3" s="12"/>
      <c r="J3" s="5"/>
      <c r="K3" s="5"/>
      <c r="L3" s="5"/>
      <c r="M3" s="5"/>
    </row>
    <row r="4" spans="4:13" x14ac:dyDescent="0.3">
      <c r="F4" s="5"/>
      <c r="G4" s="5"/>
      <c r="H4" s="5"/>
      <c r="I4" s="5"/>
      <c r="J4" s="5"/>
      <c r="K4" s="5"/>
      <c r="L4" s="5"/>
      <c r="M4" s="5"/>
    </row>
    <row r="5" spans="4:13" x14ac:dyDescent="0.3">
      <c r="E5" s="2" t="s">
        <v>320</v>
      </c>
      <c r="F5" s="6" t="s">
        <v>319</v>
      </c>
      <c r="G5" s="3" t="s">
        <v>318</v>
      </c>
      <c r="H5" s="6" t="s">
        <v>317</v>
      </c>
      <c r="I5" s="6" t="s">
        <v>316</v>
      </c>
      <c r="K5" s="5"/>
      <c r="L5" s="5"/>
      <c r="M5" s="5"/>
    </row>
    <row r="6" spans="4:13" x14ac:dyDescent="0.3">
      <c r="E6" s="3">
        <v>1</v>
      </c>
      <c r="F6" s="6">
        <v>2537195</v>
      </c>
      <c r="G6" s="3">
        <v>24</v>
      </c>
      <c r="H6" s="6">
        <v>2618000</v>
      </c>
      <c r="I6" s="6">
        <v>1910600</v>
      </c>
      <c r="K6" s="5"/>
      <c r="L6" s="5"/>
      <c r="M6" s="5"/>
    </row>
    <row r="7" spans="4:13" x14ac:dyDescent="0.3">
      <c r="E7" s="3">
        <v>2</v>
      </c>
      <c r="F7" s="6">
        <v>2526685</v>
      </c>
      <c r="G7" s="3">
        <v>26</v>
      </c>
      <c r="H7" s="6">
        <v>2609300</v>
      </c>
      <c r="I7" s="6">
        <v>1900900</v>
      </c>
      <c r="K7" s="5"/>
      <c r="L7" s="5"/>
      <c r="M7" s="5"/>
    </row>
    <row r="8" spans="4:13" x14ac:dyDescent="0.3">
      <c r="E8" s="3">
        <v>3</v>
      </c>
      <c r="F8" s="6">
        <v>2624685</v>
      </c>
      <c r="G8" s="3">
        <v>28</v>
      </c>
      <c r="H8" s="6">
        <v>2714300</v>
      </c>
      <c r="I8" s="6">
        <v>1975900</v>
      </c>
      <c r="K8" s="5"/>
      <c r="L8" s="5"/>
      <c r="M8" s="5"/>
    </row>
    <row r="9" spans="4:13" x14ac:dyDescent="0.3">
      <c r="D9" s="5"/>
      <c r="E9" s="3">
        <v>4</v>
      </c>
      <c r="F9" s="6">
        <v>2526685</v>
      </c>
      <c r="G9" s="3">
        <v>26</v>
      </c>
      <c r="H9" s="6">
        <v>2609300</v>
      </c>
      <c r="I9" s="6">
        <v>1900900</v>
      </c>
      <c r="K9" s="5"/>
      <c r="L9" s="5"/>
      <c r="M9" s="5"/>
    </row>
    <row r="10" spans="4:13" x14ac:dyDescent="0.3">
      <c r="D10" s="5"/>
      <c r="E10" s="3" t="s">
        <v>298</v>
      </c>
      <c r="F10" s="6">
        <v>10215250</v>
      </c>
      <c r="G10" s="3">
        <v>104</v>
      </c>
      <c r="H10" s="6">
        <v>10550900</v>
      </c>
      <c r="I10" s="6">
        <v>7688300</v>
      </c>
      <c r="K10" s="5"/>
      <c r="L10" s="5"/>
      <c r="M10" s="5"/>
    </row>
    <row r="11" spans="4:13" x14ac:dyDescent="0.3"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4:13" x14ac:dyDescent="0.3"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4:13" x14ac:dyDescent="0.3"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4:13" x14ac:dyDescent="0.3"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4:13" x14ac:dyDescent="0.3"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4:13" x14ac:dyDescent="0.3"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3:13" x14ac:dyDescent="0.3"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3:13" x14ac:dyDescent="0.3"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3:13" x14ac:dyDescent="0.3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3:13" x14ac:dyDescent="0.3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3:13" x14ac:dyDescent="0.3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3:13" x14ac:dyDescent="0.3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3:13" x14ac:dyDescent="0.3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3:13" x14ac:dyDescent="0.3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3:13" x14ac:dyDescent="0.3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3:13" x14ac:dyDescent="0.3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3:13" x14ac:dyDescent="0.3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3:13" x14ac:dyDescent="0.3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3:13" x14ac:dyDescent="0.3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3:13" x14ac:dyDescent="0.3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3:13" x14ac:dyDescent="0.3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3:13" x14ac:dyDescent="0.3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3:13" x14ac:dyDescent="0.3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3:13" x14ac:dyDescent="0.3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3:13" x14ac:dyDescent="0.3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3:13" x14ac:dyDescent="0.3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3:13" x14ac:dyDescent="0.3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3:13" x14ac:dyDescent="0.3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3:13" x14ac:dyDescent="0.3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3:13" x14ac:dyDescent="0.3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3:13" x14ac:dyDescent="0.3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3:13" x14ac:dyDescent="0.3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3:13" x14ac:dyDescent="0.3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3:13" x14ac:dyDescent="0.3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3:13" x14ac:dyDescent="0.3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3:13" x14ac:dyDescent="0.3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3:13" x14ac:dyDescent="0.3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3:13" x14ac:dyDescent="0.3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3:13" x14ac:dyDescent="0.3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3:13" x14ac:dyDescent="0.3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3:13" x14ac:dyDescent="0.3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3:13" x14ac:dyDescent="0.3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3:13" x14ac:dyDescent="0.3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3:13" x14ac:dyDescent="0.3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3:13" x14ac:dyDescent="0.3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3:13" x14ac:dyDescent="0.3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3:13" x14ac:dyDescent="0.3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pans="3:13" x14ac:dyDescent="0.3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3:13" x14ac:dyDescent="0.3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3:13" x14ac:dyDescent="0.3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3:13" x14ac:dyDescent="0.3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3:13" x14ac:dyDescent="0.3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3:13" x14ac:dyDescent="0.3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3:13" x14ac:dyDescent="0.3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3:13" x14ac:dyDescent="0.3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3:13" x14ac:dyDescent="0.3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3:13" x14ac:dyDescent="0.3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pans="3:13" x14ac:dyDescent="0.3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3:13" x14ac:dyDescent="0.3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3:13" x14ac:dyDescent="0.3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pans="3:13" x14ac:dyDescent="0.3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3:13" x14ac:dyDescent="0.3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spans="3:13" x14ac:dyDescent="0.3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spans="3:13" x14ac:dyDescent="0.3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spans="3:13" x14ac:dyDescent="0.3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spans="3:13" x14ac:dyDescent="0.3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spans="3:13" x14ac:dyDescent="0.3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3:13" x14ac:dyDescent="0.3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spans="3:13" x14ac:dyDescent="0.3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spans="3:13" x14ac:dyDescent="0.3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spans="3:13" x14ac:dyDescent="0.3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spans="3:13" x14ac:dyDescent="0.3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spans="3:13" x14ac:dyDescent="0.3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spans="3:13" x14ac:dyDescent="0.3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spans="3:13" x14ac:dyDescent="0.3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spans="3:13" x14ac:dyDescent="0.3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spans="3:13" x14ac:dyDescent="0.3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spans="3:13" x14ac:dyDescent="0.3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spans="3:13" x14ac:dyDescent="0.3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spans="3:13" x14ac:dyDescent="0.3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spans="3:13" x14ac:dyDescent="0.3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spans="3:13" x14ac:dyDescent="0.3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spans="3:13" x14ac:dyDescent="0.3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spans="3:13" x14ac:dyDescent="0.3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spans="3:13" x14ac:dyDescent="0.3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spans="3:13" x14ac:dyDescent="0.3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spans="3:13" x14ac:dyDescent="0.3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spans="3:13" x14ac:dyDescent="0.3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spans="3:13" x14ac:dyDescent="0.3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spans="3:13" x14ac:dyDescent="0.3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spans="3:13" x14ac:dyDescent="0.3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spans="3:13" x14ac:dyDescent="0.3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spans="3:13" x14ac:dyDescent="0.3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spans="3:13" x14ac:dyDescent="0.3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spans="3:13" x14ac:dyDescent="0.3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</sheetData>
  <mergeCells count="1">
    <mergeCell ref="E2:I3"/>
  </mergeCells>
  <conditionalFormatting sqref="E5:I5 E6:E1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{99052903-8847-41C9-B8F2-2A67AB049259}</x14:id>
        </ext>
      </extLst>
    </cfRule>
  </conditionalFormatting>
  <conditionalFormatting pivot="1" sqref="F6:F10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{6A567428-6368-4116-AA04-AD74C4A438C8}</x14:id>
        </ext>
      </extLst>
    </cfRule>
  </conditionalFormatting>
  <conditionalFormatting pivot="1" sqref="G6:G1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{6011B759-CC91-428C-B50C-E98109BBAC30}</x14:id>
        </ext>
      </extLst>
    </cfRule>
  </conditionalFormatting>
  <conditionalFormatting pivot="1" sqref="H6:H10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{C29361DC-B175-4583-A5FF-007EA0FECD13}</x14:id>
        </ext>
      </extLst>
    </cfRule>
  </conditionalFormatting>
  <conditionalFormatting pivot="1" sqref="I6:I1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{12210793-8FD0-4B7B-BCD2-141707D4A873}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052903-8847-41C9-B8F2-2A67AB0492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E5:I5 E6:E10</xm:sqref>
        </x14:conditionalFormatting>
        <x14:conditionalFormatting xmlns:xm="http://schemas.microsoft.com/office/excel/2006/main" pivot="1">
          <x14:cfRule type="dataBar" id="{6A567428-6368-4116-AA04-AD74C4A438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F6:F10</xm:sqref>
        </x14:conditionalFormatting>
        <x14:conditionalFormatting xmlns:xm="http://schemas.microsoft.com/office/excel/2006/main" pivot="1">
          <x14:cfRule type="dataBar" id="{6011B759-CC91-428C-B50C-E98109BBAC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G6:G10</xm:sqref>
        </x14:conditionalFormatting>
        <x14:conditionalFormatting xmlns:xm="http://schemas.microsoft.com/office/excel/2006/main" pivot="1">
          <x14:cfRule type="dataBar" id="{C29361DC-B175-4583-A5FF-007EA0FECD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H6:H10</xm:sqref>
        </x14:conditionalFormatting>
        <x14:conditionalFormatting xmlns:xm="http://schemas.microsoft.com/office/excel/2006/main" pivot="1">
          <x14:cfRule type="dataBar" id="{12210793-8FD0-4B7B-BCD2-141707D4A8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I6:I10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4F08-CDAC-413B-897D-047A9FB33D44}">
  <dimension ref="A2:K16"/>
  <sheetViews>
    <sheetView workbookViewId="0">
      <selection activeCell="E2" sqref="E2"/>
    </sheetView>
  </sheetViews>
  <sheetFormatPr defaultRowHeight="14.4" x14ac:dyDescent="0.3"/>
  <cols>
    <col min="1" max="1" width="19.6640625" bestFit="1" customWidth="1"/>
    <col min="2" max="2" width="17.77734375" bestFit="1" customWidth="1"/>
    <col min="3" max="3" width="12" bestFit="1" customWidth="1"/>
    <col min="4" max="4" width="8" bestFit="1" customWidth="1"/>
  </cols>
  <sheetData>
    <row r="2" spans="1:11" x14ac:dyDescent="0.3">
      <c r="F2" s="12" t="s">
        <v>321</v>
      </c>
      <c r="G2" s="12"/>
      <c r="H2" s="12"/>
      <c r="I2" s="12"/>
      <c r="J2" s="12"/>
      <c r="K2" s="12"/>
    </row>
    <row r="3" spans="1:11" x14ac:dyDescent="0.3">
      <c r="F3" s="12"/>
      <c r="G3" s="12"/>
      <c r="H3" s="12"/>
      <c r="I3" s="12"/>
      <c r="J3" s="12"/>
      <c r="K3" s="12"/>
    </row>
    <row r="5" spans="1:11" x14ac:dyDescent="0.3">
      <c r="A5" s="2" t="s">
        <v>322</v>
      </c>
      <c r="B5" s="3" t="s">
        <v>315</v>
      </c>
      <c r="C5" s="3" t="s">
        <v>323</v>
      </c>
      <c r="D5" s="3" t="s">
        <v>324</v>
      </c>
    </row>
    <row r="6" spans="1:11" x14ac:dyDescent="0.3">
      <c r="A6" s="3" t="s">
        <v>230</v>
      </c>
      <c r="B6" s="7">
        <v>747000</v>
      </c>
      <c r="C6" s="8">
        <v>0.14102322069095716</v>
      </c>
      <c r="D6" s="8">
        <v>0.14102322069095716</v>
      </c>
    </row>
    <row r="7" spans="1:11" x14ac:dyDescent="0.3">
      <c r="A7" s="3" t="s">
        <v>232</v>
      </c>
      <c r="B7" s="7">
        <v>657000</v>
      </c>
      <c r="C7" s="8">
        <v>0.12403247121011894</v>
      </c>
      <c r="D7" s="8">
        <v>0.26505569190107608</v>
      </c>
    </row>
    <row r="8" spans="1:11" x14ac:dyDescent="0.3">
      <c r="A8" s="3" t="s">
        <v>189</v>
      </c>
      <c r="B8" s="7">
        <v>639600</v>
      </c>
      <c r="C8" s="8">
        <v>0.12074759297715688</v>
      </c>
      <c r="D8" s="8">
        <v>0.38580328487823295</v>
      </c>
    </row>
    <row r="9" spans="1:11" x14ac:dyDescent="0.3">
      <c r="A9" s="3" t="s">
        <v>187</v>
      </c>
      <c r="B9" s="7">
        <v>583200</v>
      </c>
      <c r="C9" s="8">
        <v>0.1101000566358316</v>
      </c>
      <c r="D9" s="8">
        <v>0.49590334151406457</v>
      </c>
    </row>
    <row r="10" spans="1:11" x14ac:dyDescent="0.3">
      <c r="A10" s="3" t="s">
        <v>212</v>
      </c>
      <c r="B10" s="7">
        <v>563700</v>
      </c>
      <c r="C10" s="8">
        <v>0.10641872758165</v>
      </c>
      <c r="D10" s="8">
        <v>0.60232206909571451</v>
      </c>
    </row>
    <row r="11" spans="1:11" x14ac:dyDescent="0.3">
      <c r="A11" s="3" t="s">
        <v>183</v>
      </c>
      <c r="B11" s="7">
        <v>447600</v>
      </c>
      <c r="C11" s="8">
        <v>8.4500660751368695E-2</v>
      </c>
      <c r="D11" s="8">
        <v>0.68682272984708326</v>
      </c>
    </row>
    <row r="12" spans="1:11" x14ac:dyDescent="0.3">
      <c r="A12" s="3" t="s">
        <v>234</v>
      </c>
      <c r="B12" s="7">
        <v>437400</v>
      </c>
      <c r="C12" s="8">
        <v>8.2575042476873708E-2</v>
      </c>
      <c r="D12" s="8">
        <v>0.76939777232395701</v>
      </c>
    </row>
    <row r="13" spans="1:11" x14ac:dyDescent="0.3">
      <c r="A13" s="3" t="s">
        <v>210</v>
      </c>
      <c r="B13" s="7">
        <v>427500</v>
      </c>
      <c r="C13" s="8">
        <v>8.0706060033981494E-2</v>
      </c>
      <c r="D13" s="8">
        <v>0.8501038323579384</v>
      </c>
    </row>
    <row r="14" spans="1:11" x14ac:dyDescent="0.3">
      <c r="A14" s="3" t="s">
        <v>216</v>
      </c>
      <c r="B14" s="7">
        <v>402000</v>
      </c>
      <c r="C14" s="8">
        <v>7.5892014347744008E-2</v>
      </c>
      <c r="D14" s="8">
        <v>0.92599584670568247</v>
      </c>
    </row>
    <row r="15" spans="1:11" x14ac:dyDescent="0.3">
      <c r="A15" s="3" t="s">
        <v>207</v>
      </c>
      <c r="B15" s="7">
        <v>392000</v>
      </c>
      <c r="C15" s="8">
        <v>7.4004153294317532E-2</v>
      </c>
      <c r="D15" s="8">
        <v>1</v>
      </c>
    </row>
    <row r="16" spans="1:11" x14ac:dyDescent="0.3">
      <c r="A16" s="3" t="s">
        <v>298</v>
      </c>
      <c r="B16" s="7">
        <v>5297000</v>
      </c>
      <c r="C16" s="8">
        <v>1</v>
      </c>
      <c r="D16" s="8"/>
    </row>
  </sheetData>
  <mergeCells count="1">
    <mergeCell ref="F2:K3"/>
  </mergeCells>
  <conditionalFormatting pivot="1" sqref="B6:D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{A799D7B7-0617-4423-8673-58781B619B87}</x14:id>
        </ext>
      </extLst>
    </cfRule>
  </conditionalFormatting>
  <conditionalFormatting pivot="1" sqref="C6:D1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{99881D78-7FC3-45F4-A466-2819C9190DAE}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799D7B7-0617-4423-8673-58781B619B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B6:D16</xm:sqref>
        </x14:conditionalFormatting>
        <x14:conditionalFormatting xmlns:xm="http://schemas.microsoft.com/office/excel/2006/main" pivot="1">
          <x14:cfRule type="dataBar" id="{99881D78-7FC3-45F4-A466-2819C9190D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C6:D15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76BD-5E79-432A-AA71-71C5B66E6EDE}">
  <dimension ref="B2:J28"/>
  <sheetViews>
    <sheetView zoomScale="74" zoomScaleNormal="70" workbookViewId="0">
      <selection activeCell="AA6" sqref="AA6"/>
    </sheetView>
  </sheetViews>
  <sheetFormatPr defaultRowHeight="14.4" x14ac:dyDescent="0.3"/>
  <cols>
    <col min="2" max="2" width="25.21875" bestFit="1" customWidth="1"/>
    <col min="3" max="3" width="14.6640625" bestFit="1" customWidth="1"/>
    <col min="4" max="4" width="17" bestFit="1" customWidth="1"/>
    <col min="5" max="5" width="13.109375" bestFit="1" customWidth="1"/>
  </cols>
  <sheetData>
    <row r="2" spans="2:10" x14ac:dyDescent="0.3">
      <c r="G2" s="12" t="s">
        <v>325</v>
      </c>
      <c r="H2" s="12"/>
      <c r="I2" s="12"/>
      <c r="J2" s="12"/>
    </row>
    <row r="3" spans="2:10" x14ac:dyDescent="0.3">
      <c r="G3" s="12"/>
      <c r="H3" s="12"/>
      <c r="I3" s="12"/>
      <c r="J3" s="12"/>
    </row>
    <row r="6" spans="2:10" x14ac:dyDescent="0.3">
      <c r="B6" s="2" t="s">
        <v>326</v>
      </c>
      <c r="C6" s="7" t="s">
        <v>317</v>
      </c>
      <c r="D6" s="7" t="s">
        <v>332</v>
      </c>
      <c r="E6" s="3" t="s">
        <v>333</v>
      </c>
    </row>
    <row r="7" spans="2:10" x14ac:dyDescent="0.3">
      <c r="B7" s="3" t="s">
        <v>166</v>
      </c>
      <c r="C7" s="7">
        <v>1040000</v>
      </c>
      <c r="D7" s="7">
        <v>996000</v>
      </c>
      <c r="E7" s="7">
        <v>-44000</v>
      </c>
    </row>
    <row r="8" spans="2:10" x14ac:dyDescent="0.3">
      <c r="B8" s="3" t="s">
        <v>173</v>
      </c>
      <c r="C8" s="7">
        <v>960000</v>
      </c>
      <c r="D8" s="7">
        <v>1166400</v>
      </c>
      <c r="E8" s="7">
        <v>206400</v>
      </c>
    </row>
    <row r="9" spans="2:10" x14ac:dyDescent="0.3">
      <c r="B9" s="3" t="s">
        <v>170</v>
      </c>
      <c r="C9" s="7">
        <v>960000</v>
      </c>
      <c r="D9" s="7">
        <v>876000</v>
      </c>
      <c r="E9" s="7">
        <v>-84000</v>
      </c>
    </row>
    <row r="10" spans="2:10" x14ac:dyDescent="0.3">
      <c r="B10" s="3" t="s">
        <v>163</v>
      </c>
      <c r="C10" s="7">
        <v>960000</v>
      </c>
      <c r="D10" s="7">
        <v>895200</v>
      </c>
      <c r="E10" s="7">
        <v>-64800</v>
      </c>
    </row>
    <row r="11" spans="2:10" x14ac:dyDescent="0.3">
      <c r="B11" s="3" t="s">
        <v>142</v>
      </c>
      <c r="C11" s="7">
        <v>800000</v>
      </c>
      <c r="D11" s="7">
        <v>751600</v>
      </c>
      <c r="E11" s="7">
        <v>-48400</v>
      </c>
    </row>
    <row r="12" spans="2:10" x14ac:dyDescent="0.3">
      <c r="B12" s="3" t="s">
        <v>190</v>
      </c>
      <c r="C12" s="7">
        <v>660000</v>
      </c>
      <c r="D12" s="7">
        <v>639600</v>
      </c>
      <c r="E12" s="7">
        <v>-20400</v>
      </c>
    </row>
    <row r="13" spans="2:10" x14ac:dyDescent="0.3">
      <c r="B13" s="3" t="s">
        <v>133</v>
      </c>
      <c r="C13" s="7">
        <v>600000</v>
      </c>
      <c r="D13" s="7">
        <v>562800</v>
      </c>
      <c r="E13" s="7">
        <v>-37200</v>
      </c>
    </row>
    <row r="14" spans="2:10" x14ac:dyDescent="0.3">
      <c r="B14" s="3" t="s">
        <v>124</v>
      </c>
      <c r="C14" s="7">
        <v>580000</v>
      </c>
      <c r="D14" s="7">
        <v>570000</v>
      </c>
      <c r="E14" s="7">
        <v>-10000</v>
      </c>
    </row>
    <row r="15" spans="2:10" x14ac:dyDescent="0.3">
      <c r="B15" s="3" t="s">
        <v>156</v>
      </c>
      <c r="C15" s="7">
        <v>576000</v>
      </c>
      <c r="D15" s="7">
        <v>548000</v>
      </c>
      <c r="E15" s="7">
        <v>-28000</v>
      </c>
    </row>
    <row r="16" spans="2:10" x14ac:dyDescent="0.3">
      <c r="B16" s="3" t="s">
        <v>128</v>
      </c>
      <c r="C16" s="7">
        <v>560000</v>
      </c>
      <c r="D16" s="7">
        <v>536000</v>
      </c>
      <c r="E16" s="7">
        <v>-24000</v>
      </c>
    </row>
    <row r="17" spans="2:5" x14ac:dyDescent="0.3">
      <c r="B17" s="3" t="s">
        <v>119</v>
      </c>
      <c r="C17" s="7">
        <v>520000</v>
      </c>
      <c r="D17" s="7">
        <v>499600</v>
      </c>
      <c r="E17" s="7">
        <v>-20400</v>
      </c>
    </row>
    <row r="18" spans="2:5" x14ac:dyDescent="0.3">
      <c r="B18" s="3" t="s">
        <v>176</v>
      </c>
      <c r="C18" s="7">
        <v>500000</v>
      </c>
      <c r="D18" s="7">
        <v>478000</v>
      </c>
      <c r="E18" s="7">
        <v>-22000</v>
      </c>
    </row>
    <row r="19" spans="2:5" x14ac:dyDescent="0.3">
      <c r="B19" s="3" t="s">
        <v>138</v>
      </c>
      <c r="C19" s="7">
        <v>480000</v>
      </c>
      <c r="D19" s="7">
        <v>439200</v>
      </c>
      <c r="E19" s="7">
        <v>-40800</v>
      </c>
    </row>
    <row r="20" spans="2:5" x14ac:dyDescent="0.3">
      <c r="B20" s="3" t="s">
        <v>152</v>
      </c>
      <c r="C20" s="7">
        <v>480000</v>
      </c>
      <c r="D20" s="7">
        <v>439200</v>
      </c>
      <c r="E20" s="7">
        <v>-40800</v>
      </c>
    </row>
    <row r="21" spans="2:5" x14ac:dyDescent="0.3">
      <c r="B21" s="3" t="s">
        <v>208</v>
      </c>
      <c r="C21" s="7">
        <v>420000</v>
      </c>
      <c r="D21" s="7">
        <v>392000</v>
      </c>
      <c r="E21" s="7">
        <v>-28000</v>
      </c>
    </row>
    <row r="22" spans="2:5" x14ac:dyDescent="0.3">
      <c r="B22" s="3" t="s">
        <v>160</v>
      </c>
      <c r="C22" s="7">
        <v>128000</v>
      </c>
      <c r="D22" s="7">
        <v>122000</v>
      </c>
      <c r="E22" s="7">
        <v>-6000</v>
      </c>
    </row>
    <row r="23" spans="2:5" x14ac:dyDescent="0.3">
      <c r="B23" s="3" t="s">
        <v>195</v>
      </c>
      <c r="C23" s="7">
        <v>128000</v>
      </c>
      <c r="D23" s="7">
        <v>119600</v>
      </c>
      <c r="E23" s="7">
        <v>-8400</v>
      </c>
    </row>
    <row r="24" spans="2:5" x14ac:dyDescent="0.3">
      <c r="B24" s="3" t="s">
        <v>147</v>
      </c>
      <c r="C24" s="7">
        <v>112000</v>
      </c>
      <c r="D24" s="7">
        <v>99600</v>
      </c>
      <c r="E24" s="7">
        <v>-12400</v>
      </c>
    </row>
    <row r="25" spans="2:5" x14ac:dyDescent="0.3">
      <c r="B25" s="3" t="s">
        <v>198</v>
      </c>
      <c r="C25" s="7">
        <v>44000</v>
      </c>
      <c r="D25" s="7">
        <v>43980</v>
      </c>
      <c r="E25" s="7">
        <v>-20</v>
      </c>
    </row>
    <row r="26" spans="2:5" x14ac:dyDescent="0.3">
      <c r="B26" s="3" t="s">
        <v>205</v>
      </c>
      <c r="C26" s="7">
        <v>31500</v>
      </c>
      <c r="D26" s="7">
        <v>29985</v>
      </c>
      <c r="E26" s="7">
        <v>-1515</v>
      </c>
    </row>
    <row r="27" spans="2:5" x14ac:dyDescent="0.3">
      <c r="B27" s="3" t="s">
        <v>202</v>
      </c>
      <c r="C27" s="7">
        <v>11400</v>
      </c>
      <c r="D27" s="7">
        <v>10485</v>
      </c>
      <c r="E27" s="7">
        <v>-915</v>
      </c>
    </row>
    <row r="28" spans="2:5" x14ac:dyDescent="0.3">
      <c r="B28" s="3" t="s">
        <v>298</v>
      </c>
      <c r="C28" s="7">
        <v>10550900</v>
      </c>
      <c r="D28" s="7">
        <v>10215250</v>
      </c>
      <c r="E28" s="7">
        <v>-335650</v>
      </c>
    </row>
  </sheetData>
  <mergeCells count="1">
    <mergeCell ref="G2:J3"/>
  </mergeCells>
  <conditionalFormatting pivot="1" sqref="C7:C28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{2D856C0B-12BE-4537-A41C-FA28F3B82EE4}</x14:id>
        </ext>
      </extLst>
    </cfRule>
  </conditionalFormatting>
  <conditionalFormatting pivot="1" sqref="D7:D2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{46A1D40E-4E25-491A-809E-32C4777975E9}</x14:id>
        </ext>
      </extLst>
    </cfRule>
  </conditionalFormatting>
  <conditionalFormatting pivot="1" sqref="C7:C2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{B5C690EC-9CE5-4F8D-83E8-27963E57395C}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2D856C0B-12BE-4537-A41C-FA28F3B82E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C7:C28</xm:sqref>
        </x14:conditionalFormatting>
        <x14:conditionalFormatting xmlns:xm="http://schemas.microsoft.com/office/excel/2006/main" pivot="1">
          <x14:cfRule type="dataBar" id="{46A1D40E-4E25-491A-809E-32C4777975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D7:D27</xm:sqref>
        </x14:conditionalFormatting>
        <x14:conditionalFormatting xmlns:xm="http://schemas.microsoft.com/office/excel/2006/main" pivot="1">
          <x14:cfRule type="dataBar" id="{B5C690EC-9CE5-4F8D-83E8-27963E5739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C7:C27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67045-6A6A-4AF3-8A75-EE06B876D316}">
  <dimension ref="B1:E27"/>
  <sheetViews>
    <sheetView zoomScale="69" workbookViewId="0">
      <selection activeCell="L2" sqref="L2"/>
    </sheetView>
  </sheetViews>
  <sheetFormatPr defaultRowHeight="14.4" x14ac:dyDescent="0.3"/>
  <cols>
    <col min="2" max="2" width="27.33203125" bestFit="1" customWidth="1"/>
    <col min="3" max="3" width="18.44140625" bestFit="1" customWidth="1"/>
    <col min="4" max="4" width="12.6640625" bestFit="1" customWidth="1"/>
    <col min="5" max="5" width="20.5546875" bestFit="1" customWidth="1"/>
    <col min="6" max="6" width="14.109375" bestFit="1" customWidth="1"/>
  </cols>
  <sheetData>
    <row r="1" spans="2:5" x14ac:dyDescent="0.3">
      <c r="B1" s="10"/>
      <c r="C1" s="10"/>
    </row>
    <row r="2" spans="2:5" x14ac:dyDescent="0.3">
      <c r="B2" s="11" t="s">
        <v>327</v>
      </c>
      <c r="C2" s="12"/>
      <c r="D2" s="12"/>
      <c r="E2" s="12"/>
    </row>
    <row r="3" spans="2:5" x14ac:dyDescent="0.3">
      <c r="B3" s="12"/>
      <c r="C3" s="12"/>
      <c r="D3" s="12"/>
      <c r="E3" s="12"/>
    </row>
    <row r="5" spans="2:5" x14ac:dyDescent="0.3">
      <c r="B5" s="2" t="s">
        <v>329</v>
      </c>
      <c r="C5" s="3" t="s">
        <v>315</v>
      </c>
      <c r="D5" s="3" t="s">
        <v>334</v>
      </c>
      <c r="E5" s="3" t="s">
        <v>335</v>
      </c>
    </row>
    <row r="6" spans="2:5" x14ac:dyDescent="0.3">
      <c r="B6" s="3" t="s">
        <v>147</v>
      </c>
      <c r="C6" s="7">
        <v>99600</v>
      </c>
      <c r="D6" s="7">
        <v>25600</v>
      </c>
      <c r="E6" s="9">
        <v>0.25702811244979917</v>
      </c>
    </row>
    <row r="7" spans="2:5" x14ac:dyDescent="0.3">
      <c r="B7" s="3" t="s">
        <v>202</v>
      </c>
      <c r="C7" s="7">
        <v>10485</v>
      </c>
      <c r="D7" s="7">
        <v>4185</v>
      </c>
      <c r="E7" s="9">
        <v>0.39914163090128757</v>
      </c>
    </row>
    <row r="8" spans="2:5" x14ac:dyDescent="0.3">
      <c r="B8" s="3" t="s">
        <v>133</v>
      </c>
      <c r="C8" s="7">
        <v>562800</v>
      </c>
      <c r="D8" s="7">
        <v>166800</v>
      </c>
      <c r="E8" s="9">
        <v>0.29637526652452023</v>
      </c>
    </row>
    <row r="9" spans="2:5" x14ac:dyDescent="0.3">
      <c r="B9" s="3" t="s">
        <v>163</v>
      </c>
      <c r="C9" s="7">
        <v>895200</v>
      </c>
      <c r="D9" s="7">
        <v>195200</v>
      </c>
      <c r="E9" s="9">
        <v>0.21805183199285075</v>
      </c>
    </row>
    <row r="10" spans="2:5" x14ac:dyDescent="0.3">
      <c r="B10" s="3" t="s">
        <v>138</v>
      </c>
      <c r="C10" s="7">
        <v>439200</v>
      </c>
      <c r="D10" s="7">
        <v>91200</v>
      </c>
      <c r="E10" s="9">
        <v>0.20765027322404372</v>
      </c>
    </row>
    <row r="11" spans="2:5" x14ac:dyDescent="0.3">
      <c r="B11" s="3" t="s">
        <v>208</v>
      </c>
      <c r="C11" s="7">
        <v>392000</v>
      </c>
      <c r="D11" s="7">
        <v>92000</v>
      </c>
      <c r="E11" s="9">
        <v>0.23469387755102042</v>
      </c>
    </row>
    <row r="12" spans="2:5" x14ac:dyDescent="0.3">
      <c r="B12" s="3" t="s">
        <v>173</v>
      </c>
      <c r="C12" s="7">
        <v>1166400</v>
      </c>
      <c r="D12" s="7">
        <v>454400</v>
      </c>
      <c r="E12" s="9">
        <v>0.3895747599451303</v>
      </c>
    </row>
    <row r="13" spans="2:5" x14ac:dyDescent="0.3">
      <c r="B13" s="3" t="s">
        <v>119</v>
      </c>
      <c r="C13" s="7">
        <v>499600</v>
      </c>
      <c r="D13" s="7">
        <v>91600</v>
      </c>
      <c r="E13" s="9">
        <v>0.18334667734187349</v>
      </c>
    </row>
    <row r="14" spans="2:5" x14ac:dyDescent="0.3">
      <c r="B14" s="3" t="s">
        <v>190</v>
      </c>
      <c r="C14" s="7">
        <v>639600</v>
      </c>
      <c r="D14" s="7">
        <v>119600</v>
      </c>
      <c r="E14" s="9">
        <v>0.18699186991869918</v>
      </c>
    </row>
    <row r="15" spans="2:5" x14ac:dyDescent="0.3">
      <c r="B15" s="3" t="s">
        <v>160</v>
      </c>
      <c r="C15" s="7">
        <v>122000</v>
      </c>
      <c r="D15" s="7">
        <v>29000</v>
      </c>
      <c r="E15" s="9">
        <v>0.23770491803278687</v>
      </c>
    </row>
    <row r="16" spans="2:5" x14ac:dyDescent="0.3">
      <c r="B16" s="3" t="s">
        <v>142</v>
      </c>
      <c r="C16" s="7">
        <v>751600</v>
      </c>
      <c r="D16" s="7">
        <v>171600</v>
      </c>
      <c r="E16" s="9">
        <v>0.22831293241085684</v>
      </c>
    </row>
    <row r="17" spans="2:5" x14ac:dyDescent="0.3">
      <c r="B17" s="3" t="s">
        <v>205</v>
      </c>
      <c r="C17" s="7">
        <v>29985</v>
      </c>
      <c r="D17" s="7">
        <v>11385</v>
      </c>
      <c r="E17" s="9">
        <v>0.37968984492246122</v>
      </c>
    </row>
    <row r="18" spans="2:5" x14ac:dyDescent="0.3">
      <c r="B18" s="3" t="s">
        <v>198</v>
      </c>
      <c r="C18" s="7">
        <v>43980</v>
      </c>
      <c r="D18" s="7">
        <v>9580</v>
      </c>
      <c r="E18" s="9">
        <v>0.21782628467485221</v>
      </c>
    </row>
    <row r="19" spans="2:5" x14ac:dyDescent="0.3">
      <c r="B19" s="3" t="s">
        <v>128</v>
      </c>
      <c r="C19" s="7">
        <v>536000</v>
      </c>
      <c r="D19" s="7">
        <v>120000</v>
      </c>
      <c r="E19" s="9">
        <v>0.22388059701492538</v>
      </c>
    </row>
    <row r="20" spans="2:5" x14ac:dyDescent="0.3">
      <c r="B20" s="3" t="s">
        <v>166</v>
      </c>
      <c r="C20" s="7">
        <v>996000</v>
      </c>
      <c r="D20" s="7">
        <v>204000</v>
      </c>
      <c r="E20" s="9">
        <v>0.20481927710843373</v>
      </c>
    </row>
    <row r="21" spans="2:5" x14ac:dyDescent="0.3">
      <c r="B21" s="3" t="s">
        <v>176</v>
      </c>
      <c r="C21" s="7">
        <v>478000</v>
      </c>
      <c r="D21" s="7">
        <v>90000</v>
      </c>
      <c r="E21" s="9">
        <v>0.18828451882845187</v>
      </c>
    </row>
    <row r="22" spans="2:5" x14ac:dyDescent="0.3">
      <c r="B22" s="3" t="s">
        <v>124</v>
      </c>
      <c r="C22" s="7">
        <v>570000</v>
      </c>
      <c r="D22" s="7">
        <v>138000</v>
      </c>
      <c r="E22" s="9">
        <v>0.24210526315789474</v>
      </c>
    </row>
    <row r="23" spans="2:5" x14ac:dyDescent="0.3">
      <c r="B23" s="3" t="s">
        <v>156</v>
      </c>
      <c r="C23" s="7">
        <v>548000</v>
      </c>
      <c r="D23" s="7">
        <v>156000</v>
      </c>
      <c r="E23" s="9">
        <v>0.28467153284671531</v>
      </c>
    </row>
    <row r="24" spans="2:5" x14ac:dyDescent="0.3">
      <c r="B24" s="3" t="s">
        <v>170</v>
      </c>
      <c r="C24" s="7">
        <v>876000</v>
      </c>
      <c r="D24" s="7">
        <v>216000</v>
      </c>
      <c r="E24" s="9">
        <v>0.24657534246575341</v>
      </c>
    </row>
    <row r="25" spans="2:5" x14ac:dyDescent="0.3">
      <c r="B25" s="3" t="s">
        <v>152</v>
      </c>
      <c r="C25" s="7">
        <v>439200</v>
      </c>
      <c r="D25" s="7">
        <v>95200</v>
      </c>
      <c r="E25" s="9">
        <v>0.21675774134790529</v>
      </c>
    </row>
    <row r="26" spans="2:5" x14ac:dyDescent="0.3">
      <c r="B26" s="3" t="s">
        <v>195</v>
      </c>
      <c r="C26" s="7">
        <v>119600</v>
      </c>
      <c r="D26" s="7">
        <v>45600</v>
      </c>
      <c r="E26" s="9">
        <v>0.38127090301003347</v>
      </c>
    </row>
    <row r="27" spans="2:5" x14ac:dyDescent="0.3">
      <c r="B27" s="3" t="s">
        <v>298</v>
      </c>
      <c r="C27" s="7">
        <v>10215250</v>
      </c>
      <c r="D27" s="7">
        <v>2526950</v>
      </c>
      <c r="E27" s="9">
        <v>0.24737035314847899</v>
      </c>
    </row>
  </sheetData>
  <mergeCells count="2">
    <mergeCell ref="B1:C1"/>
    <mergeCell ref="B2:E3"/>
  </mergeCells>
  <conditionalFormatting sqref="B5:E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1755-1565-4943-9673-FD3B0976003F}">
  <dimension ref="B2:H27"/>
  <sheetViews>
    <sheetView topLeftCell="D10" workbookViewId="0">
      <selection activeCell="I2" sqref="I2"/>
    </sheetView>
  </sheetViews>
  <sheetFormatPr defaultRowHeight="14.4" x14ac:dyDescent="0.3"/>
  <cols>
    <col min="2" max="2" width="25.21875" bestFit="1" customWidth="1"/>
    <col min="3" max="3" width="17.77734375" bestFit="1" customWidth="1"/>
    <col min="4" max="4" width="11.77734375" bestFit="1" customWidth="1"/>
  </cols>
  <sheetData>
    <row r="2" spans="2:8" x14ac:dyDescent="0.3">
      <c r="B2" s="13"/>
      <c r="C2" s="13"/>
      <c r="D2" s="12" t="s">
        <v>330</v>
      </c>
      <c r="E2" s="12"/>
      <c r="F2" s="12"/>
      <c r="G2" s="12"/>
      <c r="H2" s="12"/>
    </row>
    <row r="3" spans="2:8" x14ac:dyDescent="0.3">
      <c r="B3" s="13"/>
      <c r="C3" s="13"/>
      <c r="D3" s="12"/>
      <c r="E3" s="12"/>
      <c r="F3" s="12"/>
      <c r="G3" s="12"/>
      <c r="H3" s="12"/>
    </row>
    <row r="5" spans="2:8" x14ac:dyDescent="0.3">
      <c r="B5" s="2" t="s">
        <v>329</v>
      </c>
      <c r="C5" s="3" t="s">
        <v>315</v>
      </c>
      <c r="D5" s="3" t="s">
        <v>328</v>
      </c>
    </row>
    <row r="6" spans="2:8" x14ac:dyDescent="0.3">
      <c r="B6" s="3" t="s">
        <v>173</v>
      </c>
      <c r="C6" s="3">
        <v>1166400</v>
      </c>
      <c r="D6" s="3">
        <v>8</v>
      </c>
    </row>
    <row r="7" spans="2:8" x14ac:dyDescent="0.3">
      <c r="B7" s="3" t="s">
        <v>166</v>
      </c>
      <c r="C7" s="3">
        <v>996000</v>
      </c>
      <c r="D7" s="3">
        <v>4</v>
      </c>
    </row>
    <row r="8" spans="2:8" x14ac:dyDescent="0.3">
      <c r="B8" s="3" t="s">
        <v>163</v>
      </c>
      <c r="C8" s="3">
        <v>895200</v>
      </c>
      <c r="D8" s="3">
        <v>8</v>
      </c>
    </row>
    <row r="9" spans="2:8" x14ac:dyDescent="0.3">
      <c r="B9" s="3" t="s">
        <v>170</v>
      </c>
      <c r="C9" s="3">
        <v>876000</v>
      </c>
      <c r="D9" s="3">
        <v>4</v>
      </c>
    </row>
    <row r="10" spans="2:8" x14ac:dyDescent="0.3">
      <c r="B10" s="3" t="s">
        <v>142</v>
      </c>
      <c r="C10" s="3">
        <v>751600</v>
      </c>
      <c r="D10" s="3">
        <v>4</v>
      </c>
    </row>
    <row r="11" spans="2:8" x14ac:dyDescent="0.3">
      <c r="B11" s="3" t="s">
        <v>190</v>
      </c>
      <c r="C11" s="3">
        <v>639600</v>
      </c>
      <c r="D11" s="3">
        <v>4</v>
      </c>
    </row>
    <row r="12" spans="2:8" x14ac:dyDescent="0.3">
      <c r="B12" s="3" t="s">
        <v>124</v>
      </c>
      <c r="C12" s="3">
        <v>570000</v>
      </c>
      <c r="D12" s="3">
        <v>5</v>
      </c>
    </row>
    <row r="13" spans="2:8" x14ac:dyDescent="0.3">
      <c r="B13" s="3" t="s">
        <v>133</v>
      </c>
      <c r="C13" s="3">
        <v>562800</v>
      </c>
      <c r="D13" s="3">
        <v>12</v>
      </c>
    </row>
    <row r="14" spans="2:8" x14ac:dyDescent="0.3">
      <c r="B14" s="3" t="s">
        <v>156</v>
      </c>
      <c r="C14" s="3">
        <v>548000</v>
      </c>
      <c r="D14" s="3">
        <v>8</v>
      </c>
    </row>
    <row r="15" spans="2:8" x14ac:dyDescent="0.3">
      <c r="B15" s="3" t="s">
        <v>128</v>
      </c>
      <c r="C15" s="3">
        <v>536000</v>
      </c>
      <c r="D15" s="3">
        <v>4</v>
      </c>
    </row>
    <row r="16" spans="2:8" x14ac:dyDescent="0.3">
      <c r="B16" s="3" t="s">
        <v>119</v>
      </c>
      <c r="C16" s="3">
        <v>499600</v>
      </c>
      <c r="D16" s="3">
        <v>8</v>
      </c>
    </row>
    <row r="17" spans="2:4" x14ac:dyDescent="0.3">
      <c r="B17" s="3" t="s">
        <v>176</v>
      </c>
      <c r="C17" s="3">
        <v>478000</v>
      </c>
      <c r="D17" s="3">
        <v>4</v>
      </c>
    </row>
    <row r="18" spans="2:4" x14ac:dyDescent="0.3">
      <c r="B18" s="3" t="s">
        <v>138</v>
      </c>
      <c r="C18" s="3">
        <v>439200</v>
      </c>
      <c r="D18" s="3">
        <v>4</v>
      </c>
    </row>
    <row r="19" spans="2:4" x14ac:dyDescent="0.3">
      <c r="B19" s="3" t="s">
        <v>152</v>
      </c>
      <c r="C19" s="3">
        <v>439200</v>
      </c>
      <c r="D19" s="3">
        <v>8</v>
      </c>
    </row>
    <row r="20" spans="2:4" x14ac:dyDescent="0.3">
      <c r="B20" s="3" t="s">
        <v>208</v>
      </c>
      <c r="C20" s="3">
        <v>392000</v>
      </c>
      <c r="D20" s="3">
        <v>4</v>
      </c>
    </row>
    <row r="21" spans="2:4" x14ac:dyDescent="0.3">
      <c r="B21" s="3" t="s">
        <v>160</v>
      </c>
      <c r="C21" s="3">
        <v>122000</v>
      </c>
      <c r="D21" s="3">
        <v>1</v>
      </c>
    </row>
    <row r="22" spans="2:4" x14ac:dyDescent="0.3">
      <c r="B22" s="3" t="s">
        <v>195</v>
      </c>
      <c r="C22" s="3">
        <v>119600</v>
      </c>
      <c r="D22" s="3">
        <v>4</v>
      </c>
    </row>
    <row r="23" spans="2:4" x14ac:dyDescent="0.3">
      <c r="B23" s="3" t="s">
        <v>147</v>
      </c>
      <c r="C23" s="3">
        <v>99600</v>
      </c>
      <c r="D23" s="3">
        <v>4</v>
      </c>
    </row>
    <row r="24" spans="2:4" x14ac:dyDescent="0.3">
      <c r="B24" s="3" t="s">
        <v>198</v>
      </c>
      <c r="C24" s="3">
        <v>43980</v>
      </c>
      <c r="D24" s="3">
        <v>4</v>
      </c>
    </row>
    <row r="25" spans="2:4" x14ac:dyDescent="0.3">
      <c r="B25" s="3" t="s">
        <v>205</v>
      </c>
      <c r="C25" s="3">
        <v>29985</v>
      </c>
      <c r="D25" s="3">
        <v>3</v>
      </c>
    </row>
    <row r="26" spans="2:4" x14ac:dyDescent="0.3">
      <c r="B26" s="3" t="s">
        <v>202</v>
      </c>
      <c r="C26" s="3">
        <v>10485</v>
      </c>
      <c r="D26" s="3">
        <v>3</v>
      </c>
    </row>
    <row r="27" spans="2:4" x14ac:dyDescent="0.3">
      <c r="B27" s="3" t="s">
        <v>298</v>
      </c>
      <c r="C27" s="3">
        <v>10215250</v>
      </c>
      <c r="D27" s="3">
        <v>108</v>
      </c>
    </row>
  </sheetData>
  <mergeCells count="1">
    <mergeCell ref="D2:H3"/>
  </mergeCells>
  <conditionalFormatting sqref="B5:D27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{8A0CBA0C-EE78-4F6B-9BB9-A4227B1B11D3}</x14:id>
        </ext>
      </extLst>
    </cfRule>
  </conditionalFormatting>
  <conditionalFormatting pivot="1" sqref="D6:D2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{1847B54C-059C-45F9-9AF0-2E21EA87D8DA}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0CBA0C-EE78-4F6B-9BB9-A4227B1B11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B5:D27</xm:sqref>
        </x14:conditionalFormatting>
        <x14:conditionalFormatting xmlns:xm="http://schemas.microsoft.com/office/excel/2006/main" pivot="1">
          <x14:cfRule type="dataBar" id="{1847B54C-059C-45F9-9AF0-2E21EA87D8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D6:D27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0D3F-F1FC-48EB-AF10-52A379D6029A}">
  <dimension ref="B2:G16"/>
  <sheetViews>
    <sheetView workbookViewId="0">
      <selection activeCell="C6" sqref="C6"/>
    </sheetView>
  </sheetViews>
  <sheetFormatPr defaultRowHeight="14.4" x14ac:dyDescent="0.3"/>
  <cols>
    <col min="2" max="2" width="14.77734375" bestFit="1" customWidth="1"/>
    <col min="3" max="3" width="17.77734375" bestFit="1" customWidth="1"/>
    <col min="4" max="4" width="9.6640625" bestFit="1" customWidth="1"/>
  </cols>
  <sheetData>
    <row r="2" spans="2:7" x14ac:dyDescent="0.3">
      <c r="C2" s="12" t="s">
        <v>337</v>
      </c>
      <c r="D2" s="12"/>
      <c r="E2" s="12"/>
      <c r="F2" s="12"/>
      <c r="G2" s="12"/>
    </row>
    <row r="3" spans="2:7" ht="14.4" customHeight="1" x14ac:dyDescent="0.3">
      <c r="B3" s="14"/>
      <c r="C3" s="12"/>
      <c r="D3" s="12"/>
      <c r="E3" s="12"/>
      <c r="F3" s="12"/>
      <c r="G3" s="12"/>
    </row>
    <row r="4" spans="2:7" ht="14.4" customHeight="1" x14ac:dyDescent="0.3">
      <c r="B4" s="14"/>
      <c r="C4" s="14"/>
      <c r="D4" s="14"/>
    </row>
    <row r="7" spans="2:7" x14ac:dyDescent="0.3">
      <c r="B7" s="2" t="s">
        <v>329</v>
      </c>
      <c r="C7" s="3" t="s">
        <v>315</v>
      </c>
      <c r="D7" s="3" t="s">
        <v>331</v>
      </c>
    </row>
    <row r="8" spans="2:7" x14ac:dyDescent="0.3">
      <c r="B8" s="3" t="s">
        <v>129</v>
      </c>
      <c r="C8" s="7">
        <v>4546800</v>
      </c>
      <c r="D8" s="8">
        <v>0.44509923888304254</v>
      </c>
    </row>
    <row r="9" spans="2:7" x14ac:dyDescent="0.3">
      <c r="B9" s="3" t="s">
        <v>120</v>
      </c>
      <c r="C9" s="7">
        <v>2187200</v>
      </c>
      <c r="D9" s="8">
        <v>0.21411125523114952</v>
      </c>
    </row>
    <row r="10" spans="2:7" x14ac:dyDescent="0.3">
      <c r="B10" s="3" t="s">
        <v>143</v>
      </c>
      <c r="C10" s="7">
        <v>1627600</v>
      </c>
      <c r="D10" s="8">
        <v>0.1593304128631213</v>
      </c>
    </row>
    <row r="11" spans="2:7" x14ac:dyDescent="0.3">
      <c r="B11" s="3" t="s">
        <v>134</v>
      </c>
      <c r="C11" s="7">
        <v>562800</v>
      </c>
      <c r="D11" s="8">
        <v>5.5094099508088398E-2</v>
      </c>
    </row>
    <row r="12" spans="2:7" x14ac:dyDescent="0.3">
      <c r="B12" s="3" t="s">
        <v>157</v>
      </c>
      <c r="C12" s="7">
        <v>548000</v>
      </c>
      <c r="D12" s="8">
        <v>5.3645285235309953E-2</v>
      </c>
    </row>
    <row r="13" spans="2:7" x14ac:dyDescent="0.3">
      <c r="B13" s="3" t="s">
        <v>153</v>
      </c>
      <c r="C13" s="7">
        <v>439200</v>
      </c>
      <c r="D13" s="8">
        <v>4.2994542473263016E-2</v>
      </c>
    </row>
    <row r="14" spans="2:7" x14ac:dyDescent="0.3">
      <c r="B14" s="3" t="s">
        <v>148</v>
      </c>
      <c r="C14" s="7">
        <v>219200</v>
      </c>
      <c r="D14" s="8">
        <v>2.145811409412398E-2</v>
      </c>
    </row>
    <row r="15" spans="2:7" x14ac:dyDescent="0.3">
      <c r="B15" s="3" t="s">
        <v>199</v>
      </c>
      <c r="C15" s="7">
        <v>84450</v>
      </c>
      <c r="D15" s="8">
        <v>8.2670517119013236E-3</v>
      </c>
    </row>
    <row r="16" spans="2:7" x14ac:dyDescent="0.3">
      <c r="B16" s="3" t="s">
        <v>298</v>
      </c>
      <c r="C16" s="7">
        <v>10215250</v>
      </c>
      <c r="D16" s="8">
        <v>1</v>
      </c>
    </row>
  </sheetData>
  <mergeCells count="1">
    <mergeCell ref="C2:G3"/>
  </mergeCells>
  <conditionalFormatting pivot="1" sqref="C8:D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{C6323239-117F-4E5B-842F-FD847E4E374C}</x14:id>
        </ext>
      </extLst>
    </cfRule>
  </conditionalFormatting>
  <conditionalFormatting pivot="1" sqref="D8:D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{FBCD0B44-FD28-4A8B-B687-0F9325239585}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6323239-117F-4E5B-842F-FD847E4E37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C8:D16</xm:sqref>
        </x14:conditionalFormatting>
        <x14:conditionalFormatting xmlns:xm="http://schemas.microsoft.com/office/excel/2006/main" pivot="1">
          <x14:cfRule type="dataBar" id="{FBCD0B44-FD28-4A8B-B687-0F93252395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D8:D16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E242-E332-4E00-A7C3-720DB21B30F8}">
  <dimension ref="A1:M105"/>
  <sheetViews>
    <sheetView workbookViewId="0">
      <selection activeCell="N7" sqref="N7"/>
    </sheetView>
  </sheetViews>
  <sheetFormatPr defaultRowHeight="14.4" x14ac:dyDescent="0.3"/>
  <cols>
    <col min="1" max="1" width="12.33203125" bestFit="1" customWidth="1"/>
    <col min="2" max="2" width="10.21875" bestFit="1" customWidth="1"/>
    <col min="3" max="3" width="16.88671875" bestFit="1" customWidth="1"/>
    <col min="4" max="4" width="10.6640625" bestFit="1" customWidth="1"/>
    <col min="5" max="5" width="25.21875" bestFit="1" customWidth="1"/>
    <col min="6" max="6" width="11.6640625" bestFit="1" customWidth="1"/>
    <col min="7" max="7" width="7.5546875" bestFit="1" customWidth="1"/>
    <col min="8" max="8" width="13.33203125" bestFit="1" customWidth="1"/>
    <col min="9" max="9" width="9.6640625" bestFit="1" customWidth="1"/>
    <col min="10" max="10" width="19.21875" bestFit="1" customWidth="1"/>
    <col min="11" max="11" width="9.6640625" bestFit="1" customWidth="1"/>
    <col min="12" max="12" width="25.33203125" bestFit="1" customWidth="1"/>
    <col min="13" max="13" width="20.109375" bestFit="1" customWidth="1"/>
  </cols>
  <sheetData>
    <row r="1" spans="1:13" x14ac:dyDescent="0.3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301</v>
      </c>
      <c r="M1" t="s">
        <v>302</v>
      </c>
    </row>
    <row r="2" spans="1:13" x14ac:dyDescent="0.3">
      <c r="A2" s="1">
        <v>45659</v>
      </c>
      <c r="B2" t="s">
        <v>116</v>
      </c>
      <c r="C2" t="s">
        <v>117</v>
      </c>
      <c r="D2" t="s">
        <v>118</v>
      </c>
      <c r="E2" t="s">
        <v>119</v>
      </c>
      <c r="F2" t="s">
        <v>120</v>
      </c>
      <c r="G2">
        <v>2</v>
      </c>
      <c r="H2">
        <v>124900</v>
      </c>
      <c r="I2">
        <v>102000</v>
      </c>
      <c r="J2">
        <v>130000</v>
      </c>
      <c r="K2">
        <v>1</v>
      </c>
      <c r="L2">
        <v>1</v>
      </c>
      <c r="M2" t="s">
        <v>303</v>
      </c>
    </row>
    <row r="3" spans="1:13" x14ac:dyDescent="0.3">
      <c r="A3" s="1">
        <v>45660</v>
      </c>
      <c r="B3" t="s">
        <v>121</v>
      </c>
      <c r="C3" t="s">
        <v>122</v>
      </c>
      <c r="D3" t="s">
        <v>123</v>
      </c>
      <c r="E3" t="s">
        <v>124</v>
      </c>
      <c r="F3" t="s">
        <v>120</v>
      </c>
      <c r="G3">
        <v>1</v>
      </c>
      <c r="H3">
        <v>142500</v>
      </c>
      <c r="I3">
        <v>108000</v>
      </c>
      <c r="J3">
        <v>145000</v>
      </c>
      <c r="K3">
        <v>1</v>
      </c>
      <c r="L3">
        <v>1</v>
      </c>
      <c r="M3" t="s">
        <v>303</v>
      </c>
    </row>
    <row r="4" spans="1:13" x14ac:dyDescent="0.3">
      <c r="A4" s="1">
        <v>45662</v>
      </c>
      <c r="B4" t="s">
        <v>125</v>
      </c>
      <c r="C4" t="s">
        <v>126</v>
      </c>
      <c r="D4" t="s">
        <v>127</v>
      </c>
      <c r="E4" t="s">
        <v>128</v>
      </c>
      <c r="F4" t="s">
        <v>129</v>
      </c>
      <c r="G4">
        <v>1</v>
      </c>
      <c r="H4">
        <v>134000</v>
      </c>
      <c r="I4">
        <v>104000</v>
      </c>
      <c r="J4">
        <v>140000</v>
      </c>
      <c r="K4">
        <v>1</v>
      </c>
      <c r="L4">
        <v>1</v>
      </c>
      <c r="M4" t="s">
        <v>303</v>
      </c>
    </row>
    <row r="5" spans="1:13" x14ac:dyDescent="0.3">
      <c r="A5" s="1">
        <v>45672</v>
      </c>
      <c r="B5" t="s">
        <v>130</v>
      </c>
      <c r="C5" t="s">
        <v>131</v>
      </c>
      <c r="D5" t="s">
        <v>132</v>
      </c>
      <c r="E5" t="s">
        <v>133</v>
      </c>
      <c r="F5" t="s">
        <v>134</v>
      </c>
      <c r="G5">
        <v>1</v>
      </c>
      <c r="H5">
        <v>46900</v>
      </c>
      <c r="I5">
        <v>33000</v>
      </c>
      <c r="J5">
        <v>50000</v>
      </c>
      <c r="K5">
        <v>1</v>
      </c>
      <c r="L5">
        <v>1</v>
      </c>
      <c r="M5" t="s">
        <v>303</v>
      </c>
    </row>
    <row r="6" spans="1:13" x14ac:dyDescent="0.3">
      <c r="A6" s="1">
        <v>45677</v>
      </c>
      <c r="B6" t="s">
        <v>135</v>
      </c>
      <c r="C6" t="s">
        <v>136</v>
      </c>
      <c r="D6" t="s">
        <v>137</v>
      </c>
      <c r="E6" t="s">
        <v>138</v>
      </c>
      <c r="F6" t="s">
        <v>129</v>
      </c>
      <c r="G6">
        <v>1</v>
      </c>
      <c r="H6">
        <v>109800</v>
      </c>
      <c r="I6">
        <v>87000</v>
      </c>
      <c r="J6">
        <v>120000</v>
      </c>
      <c r="K6">
        <v>1</v>
      </c>
      <c r="L6">
        <v>1</v>
      </c>
      <c r="M6" t="s">
        <v>303</v>
      </c>
    </row>
    <row r="7" spans="1:13" x14ac:dyDescent="0.3">
      <c r="A7" s="1">
        <v>45682</v>
      </c>
      <c r="B7" t="s">
        <v>139</v>
      </c>
      <c r="C7" t="s">
        <v>140</v>
      </c>
      <c r="D7" t="s">
        <v>141</v>
      </c>
      <c r="E7" t="s">
        <v>142</v>
      </c>
      <c r="F7" t="s">
        <v>143</v>
      </c>
      <c r="G7">
        <v>1</v>
      </c>
      <c r="H7">
        <v>187900</v>
      </c>
      <c r="I7">
        <v>145000</v>
      </c>
      <c r="J7">
        <v>200000</v>
      </c>
      <c r="K7">
        <v>1</v>
      </c>
      <c r="L7">
        <v>1</v>
      </c>
      <c r="M7" t="s">
        <v>303</v>
      </c>
    </row>
    <row r="8" spans="1:13" x14ac:dyDescent="0.3">
      <c r="A8" s="1">
        <v>45685</v>
      </c>
      <c r="B8" t="s">
        <v>144</v>
      </c>
      <c r="C8" t="s">
        <v>145</v>
      </c>
      <c r="D8" t="s">
        <v>146</v>
      </c>
      <c r="E8" t="s">
        <v>147</v>
      </c>
      <c r="F8" t="s">
        <v>148</v>
      </c>
      <c r="G8">
        <v>1</v>
      </c>
      <c r="H8">
        <v>24900</v>
      </c>
      <c r="I8">
        <v>18500</v>
      </c>
      <c r="J8">
        <v>28000</v>
      </c>
      <c r="K8">
        <v>1</v>
      </c>
      <c r="L8">
        <v>1</v>
      </c>
      <c r="M8" t="s">
        <v>303</v>
      </c>
    </row>
    <row r="9" spans="1:13" x14ac:dyDescent="0.3">
      <c r="A9" s="1">
        <v>45687</v>
      </c>
      <c r="B9" t="s">
        <v>149</v>
      </c>
      <c r="C9" t="s">
        <v>150</v>
      </c>
      <c r="D9" t="s">
        <v>151</v>
      </c>
      <c r="E9" t="s">
        <v>152</v>
      </c>
      <c r="F9" t="s">
        <v>153</v>
      </c>
      <c r="G9">
        <v>1</v>
      </c>
      <c r="H9">
        <v>54900</v>
      </c>
      <c r="I9">
        <v>43000</v>
      </c>
      <c r="J9">
        <v>60000</v>
      </c>
      <c r="K9">
        <v>1</v>
      </c>
      <c r="L9">
        <v>1</v>
      </c>
      <c r="M9" t="s">
        <v>303</v>
      </c>
    </row>
    <row r="10" spans="1:13" x14ac:dyDescent="0.3">
      <c r="A10" s="1">
        <v>45690</v>
      </c>
      <c r="B10" t="s">
        <v>154</v>
      </c>
      <c r="C10" t="s">
        <v>155</v>
      </c>
      <c r="D10" t="s">
        <v>151</v>
      </c>
      <c r="E10" t="s">
        <v>156</v>
      </c>
      <c r="F10" t="s">
        <v>157</v>
      </c>
      <c r="G10">
        <v>1</v>
      </c>
      <c r="H10">
        <v>68500</v>
      </c>
      <c r="I10">
        <v>49000</v>
      </c>
      <c r="J10">
        <v>72000</v>
      </c>
      <c r="K10">
        <v>1</v>
      </c>
      <c r="L10">
        <v>2</v>
      </c>
      <c r="M10" t="s">
        <v>304</v>
      </c>
    </row>
    <row r="11" spans="1:13" x14ac:dyDescent="0.3">
      <c r="A11" s="1">
        <v>45693</v>
      </c>
      <c r="B11" t="s">
        <v>158</v>
      </c>
      <c r="C11" t="s">
        <v>159</v>
      </c>
      <c r="D11" t="s">
        <v>127</v>
      </c>
      <c r="E11" t="s">
        <v>160</v>
      </c>
      <c r="F11" t="s">
        <v>129</v>
      </c>
      <c r="G11">
        <v>1</v>
      </c>
      <c r="H11">
        <v>122000</v>
      </c>
      <c r="I11">
        <v>93000</v>
      </c>
      <c r="J11">
        <v>128000</v>
      </c>
      <c r="K11">
        <v>1</v>
      </c>
      <c r="L11">
        <v>2</v>
      </c>
      <c r="M11" t="s">
        <v>304</v>
      </c>
    </row>
    <row r="12" spans="1:13" x14ac:dyDescent="0.3">
      <c r="A12" s="1">
        <v>45699</v>
      </c>
      <c r="B12" t="s">
        <v>161</v>
      </c>
      <c r="C12" t="s">
        <v>162</v>
      </c>
      <c r="D12" t="s">
        <v>123</v>
      </c>
      <c r="E12" t="s">
        <v>163</v>
      </c>
      <c r="F12" t="s">
        <v>129</v>
      </c>
      <c r="G12">
        <v>1</v>
      </c>
      <c r="H12">
        <v>111900</v>
      </c>
      <c r="I12">
        <v>89000</v>
      </c>
      <c r="J12">
        <v>120000</v>
      </c>
      <c r="K12">
        <v>1</v>
      </c>
      <c r="L12">
        <v>2</v>
      </c>
      <c r="M12" t="s">
        <v>304</v>
      </c>
    </row>
    <row r="13" spans="1:13" x14ac:dyDescent="0.3">
      <c r="A13" s="1">
        <v>45703</v>
      </c>
      <c r="B13" t="s">
        <v>164</v>
      </c>
      <c r="C13" t="s">
        <v>165</v>
      </c>
      <c r="D13" t="s">
        <v>137</v>
      </c>
      <c r="E13" t="s">
        <v>166</v>
      </c>
      <c r="F13" t="s">
        <v>129</v>
      </c>
      <c r="G13">
        <v>1</v>
      </c>
      <c r="H13">
        <v>249000</v>
      </c>
      <c r="I13">
        <v>198000</v>
      </c>
      <c r="J13">
        <v>260000</v>
      </c>
      <c r="K13">
        <v>1</v>
      </c>
      <c r="L13">
        <v>2</v>
      </c>
      <c r="M13" t="s">
        <v>304</v>
      </c>
    </row>
    <row r="14" spans="1:13" x14ac:dyDescent="0.3">
      <c r="A14" s="1">
        <v>45708</v>
      </c>
      <c r="B14" t="s">
        <v>167</v>
      </c>
      <c r="C14" t="s">
        <v>168</v>
      </c>
      <c r="D14" t="s">
        <v>169</v>
      </c>
      <c r="E14" t="s">
        <v>170</v>
      </c>
      <c r="F14" t="s">
        <v>143</v>
      </c>
      <c r="G14">
        <v>1</v>
      </c>
      <c r="H14">
        <v>219000</v>
      </c>
      <c r="I14">
        <v>165000</v>
      </c>
      <c r="J14">
        <v>240000</v>
      </c>
      <c r="K14">
        <v>1</v>
      </c>
      <c r="L14">
        <v>2</v>
      </c>
      <c r="M14" t="s">
        <v>304</v>
      </c>
    </row>
    <row r="15" spans="1:13" x14ac:dyDescent="0.3">
      <c r="A15" s="1">
        <v>45713</v>
      </c>
      <c r="B15" t="s">
        <v>171</v>
      </c>
      <c r="C15" t="s">
        <v>172</v>
      </c>
      <c r="D15" t="s">
        <v>132</v>
      </c>
      <c r="E15" t="s">
        <v>173</v>
      </c>
      <c r="F15" t="s">
        <v>129</v>
      </c>
      <c r="G15">
        <v>1</v>
      </c>
      <c r="H15">
        <v>145800</v>
      </c>
      <c r="I15">
        <v>89000</v>
      </c>
      <c r="J15">
        <v>120000</v>
      </c>
      <c r="K15">
        <v>1</v>
      </c>
      <c r="L15">
        <v>2</v>
      </c>
      <c r="M15" t="s">
        <v>304</v>
      </c>
    </row>
    <row r="16" spans="1:13" x14ac:dyDescent="0.3">
      <c r="A16" s="1">
        <v>45716</v>
      </c>
      <c r="B16" t="s">
        <v>174</v>
      </c>
      <c r="C16" t="s">
        <v>175</v>
      </c>
      <c r="D16" t="s">
        <v>146</v>
      </c>
      <c r="E16" t="s">
        <v>176</v>
      </c>
      <c r="F16" t="s">
        <v>120</v>
      </c>
      <c r="G16">
        <v>1</v>
      </c>
      <c r="H16">
        <v>119500</v>
      </c>
      <c r="I16">
        <v>97000</v>
      </c>
      <c r="J16">
        <v>125000</v>
      </c>
      <c r="K16">
        <v>1</v>
      </c>
      <c r="L16">
        <v>2</v>
      </c>
      <c r="M16" t="s">
        <v>304</v>
      </c>
    </row>
    <row r="17" spans="1:13" x14ac:dyDescent="0.3">
      <c r="A17" s="1">
        <v>45718</v>
      </c>
      <c r="B17" t="s">
        <v>177</v>
      </c>
      <c r="C17" t="s">
        <v>178</v>
      </c>
      <c r="D17" t="s">
        <v>179</v>
      </c>
      <c r="E17" t="s">
        <v>133</v>
      </c>
      <c r="F17" t="s">
        <v>134</v>
      </c>
      <c r="G17">
        <v>1</v>
      </c>
      <c r="H17">
        <v>46900</v>
      </c>
      <c r="I17">
        <v>33000</v>
      </c>
      <c r="J17">
        <v>50000</v>
      </c>
      <c r="K17">
        <v>1</v>
      </c>
      <c r="L17">
        <v>3</v>
      </c>
      <c r="M17" t="s">
        <v>305</v>
      </c>
    </row>
    <row r="18" spans="1:13" x14ac:dyDescent="0.3">
      <c r="A18" s="1">
        <v>45721</v>
      </c>
      <c r="B18" t="s">
        <v>180</v>
      </c>
      <c r="C18" t="s">
        <v>181</v>
      </c>
      <c r="D18" t="s">
        <v>141</v>
      </c>
      <c r="E18" t="s">
        <v>133</v>
      </c>
      <c r="F18" t="s">
        <v>134</v>
      </c>
      <c r="G18">
        <v>1</v>
      </c>
      <c r="H18">
        <v>46900</v>
      </c>
      <c r="I18">
        <v>33000</v>
      </c>
      <c r="J18">
        <v>50000</v>
      </c>
      <c r="K18">
        <v>1</v>
      </c>
      <c r="L18">
        <v>3</v>
      </c>
      <c r="M18" t="s">
        <v>305</v>
      </c>
    </row>
    <row r="19" spans="1:13" x14ac:dyDescent="0.3">
      <c r="A19" s="1">
        <v>45726</v>
      </c>
      <c r="B19" t="s">
        <v>182</v>
      </c>
      <c r="C19" t="s">
        <v>183</v>
      </c>
      <c r="D19" t="s">
        <v>118</v>
      </c>
      <c r="E19" t="s">
        <v>163</v>
      </c>
      <c r="F19" t="s">
        <v>129</v>
      </c>
      <c r="G19">
        <v>1</v>
      </c>
      <c r="H19">
        <v>111900</v>
      </c>
      <c r="I19">
        <v>86000</v>
      </c>
      <c r="J19">
        <v>120000</v>
      </c>
      <c r="K19">
        <v>1</v>
      </c>
      <c r="L19">
        <v>3</v>
      </c>
      <c r="M19" t="s">
        <v>305</v>
      </c>
    </row>
    <row r="20" spans="1:13" x14ac:dyDescent="0.3">
      <c r="A20" s="1">
        <v>45730</v>
      </c>
      <c r="B20" t="s">
        <v>184</v>
      </c>
      <c r="C20" t="s">
        <v>185</v>
      </c>
      <c r="D20" t="s">
        <v>137</v>
      </c>
      <c r="E20" t="s">
        <v>152</v>
      </c>
      <c r="F20" t="s">
        <v>153</v>
      </c>
      <c r="G20">
        <v>1</v>
      </c>
      <c r="H20">
        <v>54900</v>
      </c>
      <c r="I20">
        <v>43000</v>
      </c>
      <c r="J20">
        <v>60000</v>
      </c>
      <c r="K20">
        <v>1</v>
      </c>
      <c r="L20">
        <v>3</v>
      </c>
      <c r="M20" t="s">
        <v>305</v>
      </c>
    </row>
    <row r="21" spans="1:13" x14ac:dyDescent="0.3">
      <c r="A21" s="1">
        <v>45734</v>
      </c>
      <c r="B21" t="s">
        <v>186</v>
      </c>
      <c r="C21" t="s">
        <v>187</v>
      </c>
      <c r="D21" t="s">
        <v>132</v>
      </c>
      <c r="E21" t="s">
        <v>173</v>
      </c>
      <c r="F21" t="s">
        <v>129</v>
      </c>
      <c r="G21">
        <v>1</v>
      </c>
      <c r="H21">
        <v>145800</v>
      </c>
      <c r="I21">
        <v>89000</v>
      </c>
      <c r="J21">
        <v>120000</v>
      </c>
      <c r="K21">
        <v>1</v>
      </c>
      <c r="L21">
        <v>3</v>
      </c>
      <c r="M21" t="s">
        <v>305</v>
      </c>
    </row>
    <row r="22" spans="1:13" x14ac:dyDescent="0.3">
      <c r="A22" s="1">
        <v>45738</v>
      </c>
      <c r="B22" t="s">
        <v>188</v>
      </c>
      <c r="C22" t="s">
        <v>189</v>
      </c>
      <c r="D22" t="s">
        <v>123</v>
      </c>
      <c r="E22" t="s">
        <v>190</v>
      </c>
      <c r="F22" t="s">
        <v>120</v>
      </c>
      <c r="G22">
        <v>1</v>
      </c>
      <c r="H22">
        <v>159900</v>
      </c>
      <c r="I22">
        <v>130000</v>
      </c>
      <c r="J22">
        <v>165000</v>
      </c>
      <c r="K22">
        <v>1</v>
      </c>
      <c r="L22">
        <v>3</v>
      </c>
      <c r="M22" t="s">
        <v>305</v>
      </c>
    </row>
    <row r="23" spans="1:13" x14ac:dyDescent="0.3">
      <c r="A23" s="1">
        <v>45741</v>
      </c>
      <c r="B23" t="s">
        <v>191</v>
      </c>
      <c r="C23" t="s">
        <v>192</v>
      </c>
      <c r="D23" t="s">
        <v>146</v>
      </c>
      <c r="E23" t="s">
        <v>156</v>
      </c>
      <c r="F23" t="s">
        <v>157</v>
      </c>
      <c r="G23">
        <v>1</v>
      </c>
      <c r="H23">
        <v>68500</v>
      </c>
      <c r="I23">
        <v>49000</v>
      </c>
      <c r="J23">
        <v>72000</v>
      </c>
      <c r="K23">
        <v>1</v>
      </c>
      <c r="L23">
        <v>3</v>
      </c>
      <c r="M23" t="s">
        <v>305</v>
      </c>
    </row>
    <row r="24" spans="1:13" x14ac:dyDescent="0.3">
      <c r="A24" s="1">
        <v>45744</v>
      </c>
      <c r="B24" t="s">
        <v>193</v>
      </c>
      <c r="C24" t="s">
        <v>194</v>
      </c>
      <c r="D24" t="s">
        <v>169</v>
      </c>
      <c r="E24" t="s">
        <v>195</v>
      </c>
      <c r="F24" t="s">
        <v>148</v>
      </c>
      <c r="G24">
        <v>1</v>
      </c>
      <c r="H24">
        <v>29900</v>
      </c>
      <c r="I24">
        <v>18500</v>
      </c>
      <c r="J24">
        <v>32000</v>
      </c>
      <c r="K24">
        <v>1</v>
      </c>
      <c r="L24">
        <v>3</v>
      </c>
      <c r="M24" t="s">
        <v>305</v>
      </c>
    </row>
    <row r="25" spans="1:13" x14ac:dyDescent="0.3">
      <c r="A25" s="1">
        <v>45746</v>
      </c>
      <c r="B25" t="s">
        <v>196</v>
      </c>
      <c r="C25" t="s">
        <v>197</v>
      </c>
      <c r="D25" t="s">
        <v>151</v>
      </c>
      <c r="E25" t="s">
        <v>198</v>
      </c>
      <c r="F25" t="s">
        <v>199</v>
      </c>
      <c r="G25">
        <v>1</v>
      </c>
      <c r="H25">
        <v>10995</v>
      </c>
      <c r="I25">
        <v>8600</v>
      </c>
      <c r="J25">
        <v>11000</v>
      </c>
      <c r="K25">
        <v>1</v>
      </c>
      <c r="L25">
        <v>3</v>
      </c>
      <c r="M25" t="s">
        <v>305</v>
      </c>
    </row>
    <row r="26" spans="1:13" x14ac:dyDescent="0.3">
      <c r="A26" s="1">
        <v>45750</v>
      </c>
      <c r="B26" t="s">
        <v>200</v>
      </c>
      <c r="C26" t="s">
        <v>201</v>
      </c>
      <c r="D26" t="s">
        <v>127</v>
      </c>
      <c r="E26" t="s">
        <v>202</v>
      </c>
      <c r="F26" t="s">
        <v>199</v>
      </c>
      <c r="G26">
        <v>1</v>
      </c>
      <c r="H26">
        <v>3495</v>
      </c>
      <c r="I26">
        <v>2100</v>
      </c>
      <c r="J26">
        <v>3800</v>
      </c>
      <c r="K26">
        <v>2</v>
      </c>
      <c r="L26">
        <v>4</v>
      </c>
      <c r="M26" t="s">
        <v>306</v>
      </c>
    </row>
    <row r="27" spans="1:13" x14ac:dyDescent="0.3">
      <c r="A27" s="1">
        <v>45752</v>
      </c>
      <c r="B27" t="s">
        <v>203</v>
      </c>
      <c r="C27" t="s">
        <v>204</v>
      </c>
      <c r="D27" t="s">
        <v>141</v>
      </c>
      <c r="E27" t="s">
        <v>205</v>
      </c>
      <c r="F27" t="s">
        <v>199</v>
      </c>
      <c r="G27">
        <v>1</v>
      </c>
      <c r="H27">
        <v>9995</v>
      </c>
      <c r="I27">
        <v>6200</v>
      </c>
      <c r="J27">
        <v>10500</v>
      </c>
      <c r="K27">
        <v>2</v>
      </c>
      <c r="L27">
        <v>4</v>
      </c>
      <c r="M27" t="s">
        <v>306</v>
      </c>
    </row>
    <row r="28" spans="1:13" x14ac:dyDescent="0.3">
      <c r="A28" s="1">
        <v>45755</v>
      </c>
      <c r="B28" t="s">
        <v>206</v>
      </c>
      <c r="C28" t="s">
        <v>207</v>
      </c>
      <c r="D28" t="s">
        <v>118</v>
      </c>
      <c r="E28" t="s">
        <v>208</v>
      </c>
      <c r="F28" t="s">
        <v>129</v>
      </c>
      <c r="G28">
        <v>1</v>
      </c>
      <c r="H28">
        <v>98000</v>
      </c>
      <c r="I28">
        <v>75000</v>
      </c>
      <c r="J28">
        <v>105000</v>
      </c>
      <c r="K28">
        <v>2</v>
      </c>
      <c r="L28">
        <v>4</v>
      </c>
      <c r="M28" t="s">
        <v>306</v>
      </c>
    </row>
    <row r="29" spans="1:13" x14ac:dyDescent="0.3">
      <c r="A29" s="1">
        <v>45759</v>
      </c>
      <c r="B29" t="s">
        <v>209</v>
      </c>
      <c r="C29" t="s">
        <v>210</v>
      </c>
      <c r="D29" t="s">
        <v>132</v>
      </c>
      <c r="E29" t="s">
        <v>124</v>
      </c>
      <c r="F29" t="s">
        <v>120</v>
      </c>
      <c r="G29">
        <v>1</v>
      </c>
      <c r="H29">
        <v>142500</v>
      </c>
      <c r="I29">
        <v>108000</v>
      </c>
      <c r="J29">
        <v>145000</v>
      </c>
      <c r="K29">
        <v>2</v>
      </c>
      <c r="L29">
        <v>4</v>
      </c>
      <c r="M29" t="s">
        <v>306</v>
      </c>
    </row>
    <row r="30" spans="1:13" x14ac:dyDescent="0.3">
      <c r="A30" s="1">
        <v>45762</v>
      </c>
      <c r="B30" t="s">
        <v>211</v>
      </c>
      <c r="C30" t="s">
        <v>212</v>
      </c>
      <c r="D30" t="s">
        <v>137</v>
      </c>
      <c r="E30" t="s">
        <v>142</v>
      </c>
      <c r="F30" t="s">
        <v>143</v>
      </c>
      <c r="G30">
        <v>1</v>
      </c>
      <c r="H30">
        <v>187900</v>
      </c>
      <c r="I30">
        <v>145000</v>
      </c>
      <c r="J30">
        <v>200000</v>
      </c>
      <c r="K30">
        <v>2</v>
      </c>
      <c r="L30">
        <v>4</v>
      </c>
      <c r="M30" t="s">
        <v>306</v>
      </c>
    </row>
    <row r="31" spans="1:13" x14ac:dyDescent="0.3">
      <c r="A31" s="1">
        <v>45765</v>
      </c>
      <c r="B31" t="s">
        <v>213</v>
      </c>
      <c r="C31" t="s">
        <v>214</v>
      </c>
      <c r="D31" t="s">
        <v>146</v>
      </c>
      <c r="E31" t="s">
        <v>147</v>
      </c>
      <c r="F31" t="s">
        <v>148</v>
      </c>
      <c r="G31">
        <v>1</v>
      </c>
      <c r="H31">
        <v>24900</v>
      </c>
      <c r="I31">
        <v>18500</v>
      </c>
      <c r="J31">
        <v>28000</v>
      </c>
      <c r="K31">
        <v>2</v>
      </c>
      <c r="L31">
        <v>4</v>
      </c>
      <c r="M31" t="s">
        <v>306</v>
      </c>
    </row>
    <row r="32" spans="1:13" x14ac:dyDescent="0.3">
      <c r="A32" s="1">
        <v>45769</v>
      </c>
      <c r="B32" t="s">
        <v>215</v>
      </c>
      <c r="C32" t="s">
        <v>216</v>
      </c>
      <c r="D32" t="s">
        <v>141</v>
      </c>
      <c r="E32" t="s">
        <v>128</v>
      </c>
      <c r="F32" t="s">
        <v>129</v>
      </c>
      <c r="G32">
        <v>1</v>
      </c>
      <c r="H32">
        <v>134000</v>
      </c>
      <c r="I32">
        <v>104000</v>
      </c>
      <c r="J32">
        <v>140000</v>
      </c>
      <c r="K32">
        <v>2</v>
      </c>
      <c r="L32">
        <v>4</v>
      </c>
      <c r="M32" t="s">
        <v>306</v>
      </c>
    </row>
    <row r="33" spans="1:13" x14ac:dyDescent="0.3">
      <c r="A33" s="1">
        <v>45772</v>
      </c>
      <c r="B33" t="s">
        <v>217</v>
      </c>
      <c r="C33" t="s">
        <v>218</v>
      </c>
      <c r="D33" t="s">
        <v>169</v>
      </c>
      <c r="E33" t="s">
        <v>133</v>
      </c>
      <c r="F33" t="s">
        <v>134</v>
      </c>
      <c r="G33">
        <v>1</v>
      </c>
      <c r="H33">
        <v>46900</v>
      </c>
      <c r="I33">
        <v>33000</v>
      </c>
      <c r="J33">
        <v>50000</v>
      </c>
      <c r="K33">
        <v>2</v>
      </c>
      <c r="L33">
        <v>4</v>
      </c>
      <c r="M33" t="s">
        <v>306</v>
      </c>
    </row>
    <row r="34" spans="1:13" x14ac:dyDescent="0.3">
      <c r="A34" s="1">
        <v>45775</v>
      </c>
      <c r="B34" t="s">
        <v>219</v>
      </c>
      <c r="C34" t="s">
        <v>220</v>
      </c>
      <c r="D34" t="s">
        <v>127</v>
      </c>
      <c r="E34" t="s">
        <v>152</v>
      </c>
      <c r="F34" t="s">
        <v>153</v>
      </c>
      <c r="G34">
        <v>1</v>
      </c>
      <c r="H34">
        <v>54900</v>
      </c>
      <c r="I34">
        <v>43000</v>
      </c>
      <c r="J34">
        <v>60000</v>
      </c>
      <c r="K34">
        <v>2</v>
      </c>
      <c r="L34">
        <v>4</v>
      </c>
      <c r="M34" t="s">
        <v>306</v>
      </c>
    </row>
    <row r="35" spans="1:13" x14ac:dyDescent="0.3">
      <c r="A35" s="1">
        <v>45779</v>
      </c>
      <c r="B35" t="s">
        <v>221</v>
      </c>
      <c r="C35" t="s">
        <v>222</v>
      </c>
      <c r="D35" t="s">
        <v>132</v>
      </c>
      <c r="E35" t="s">
        <v>138</v>
      </c>
      <c r="F35" t="s">
        <v>129</v>
      </c>
      <c r="G35">
        <v>1</v>
      </c>
      <c r="H35">
        <v>109800</v>
      </c>
      <c r="I35">
        <v>87000</v>
      </c>
      <c r="J35">
        <v>120000</v>
      </c>
      <c r="K35">
        <v>2</v>
      </c>
      <c r="L35">
        <v>5</v>
      </c>
      <c r="M35" t="s">
        <v>307</v>
      </c>
    </row>
    <row r="36" spans="1:13" x14ac:dyDescent="0.3">
      <c r="A36" s="1">
        <v>45782</v>
      </c>
      <c r="B36" t="s">
        <v>223</v>
      </c>
      <c r="C36" t="s">
        <v>224</v>
      </c>
      <c r="D36" t="s">
        <v>123</v>
      </c>
      <c r="E36" t="s">
        <v>156</v>
      </c>
      <c r="F36" t="s">
        <v>157</v>
      </c>
      <c r="G36">
        <v>1</v>
      </c>
      <c r="H36">
        <v>68500</v>
      </c>
      <c r="I36">
        <v>49000</v>
      </c>
      <c r="J36">
        <v>72000</v>
      </c>
      <c r="K36">
        <v>2</v>
      </c>
      <c r="L36">
        <v>5</v>
      </c>
      <c r="M36" t="s">
        <v>307</v>
      </c>
    </row>
    <row r="37" spans="1:13" x14ac:dyDescent="0.3">
      <c r="A37" s="1">
        <v>45785</v>
      </c>
      <c r="B37" t="s">
        <v>225</v>
      </c>
      <c r="C37" t="s">
        <v>226</v>
      </c>
      <c r="D37" t="s">
        <v>137</v>
      </c>
      <c r="E37" t="s">
        <v>163</v>
      </c>
      <c r="F37" t="s">
        <v>129</v>
      </c>
      <c r="G37">
        <v>1</v>
      </c>
      <c r="H37">
        <v>111900</v>
      </c>
      <c r="I37">
        <v>89000</v>
      </c>
      <c r="J37">
        <v>120000</v>
      </c>
      <c r="K37">
        <v>2</v>
      </c>
      <c r="L37">
        <v>5</v>
      </c>
      <c r="M37" t="s">
        <v>307</v>
      </c>
    </row>
    <row r="38" spans="1:13" x14ac:dyDescent="0.3">
      <c r="A38" s="1">
        <v>45789</v>
      </c>
      <c r="B38" t="s">
        <v>227</v>
      </c>
      <c r="C38" t="s">
        <v>228</v>
      </c>
      <c r="D38" t="s">
        <v>151</v>
      </c>
      <c r="E38" t="s">
        <v>119</v>
      </c>
      <c r="F38" t="s">
        <v>120</v>
      </c>
      <c r="G38">
        <v>2</v>
      </c>
      <c r="H38">
        <v>124900</v>
      </c>
      <c r="I38">
        <v>102000</v>
      </c>
      <c r="J38">
        <v>130000</v>
      </c>
      <c r="K38">
        <v>2</v>
      </c>
      <c r="L38">
        <v>5</v>
      </c>
      <c r="M38" t="s">
        <v>307</v>
      </c>
    </row>
    <row r="39" spans="1:13" x14ac:dyDescent="0.3">
      <c r="A39" s="1">
        <v>45792</v>
      </c>
      <c r="B39" t="s">
        <v>229</v>
      </c>
      <c r="C39" t="s">
        <v>230</v>
      </c>
      <c r="D39" t="s">
        <v>146</v>
      </c>
      <c r="E39" t="s">
        <v>166</v>
      </c>
      <c r="F39" t="s">
        <v>129</v>
      </c>
      <c r="G39">
        <v>1</v>
      </c>
      <c r="H39">
        <v>249000</v>
      </c>
      <c r="I39">
        <v>198000</v>
      </c>
      <c r="J39">
        <v>260000</v>
      </c>
      <c r="K39">
        <v>2</v>
      </c>
      <c r="L39">
        <v>5</v>
      </c>
      <c r="M39" t="s">
        <v>307</v>
      </c>
    </row>
    <row r="40" spans="1:13" x14ac:dyDescent="0.3">
      <c r="A40" s="1">
        <v>45795</v>
      </c>
      <c r="B40" t="s">
        <v>231</v>
      </c>
      <c r="C40" t="s">
        <v>232</v>
      </c>
      <c r="D40" t="s">
        <v>132</v>
      </c>
      <c r="E40" t="s">
        <v>170</v>
      </c>
      <c r="F40" t="s">
        <v>143</v>
      </c>
      <c r="G40">
        <v>1</v>
      </c>
      <c r="H40">
        <v>219000</v>
      </c>
      <c r="I40">
        <v>165000</v>
      </c>
      <c r="J40">
        <v>240000</v>
      </c>
      <c r="K40">
        <v>2</v>
      </c>
      <c r="L40">
        <v>5</v>
      </c>
      <c r="M40" t="s">
        <v>307</v>
      </c>
    </row>
    <row r="41" spans="1:13" x14ac:dyDescent="0.3">
      <c r="A41" s="1">
        <v>45799</v>
      </c>
      <c r="B41" t="s">
        <v>233</v>
      </c>
      <c r="C41" t="s">
        <v>234</v>
      </c>
      <c r="D41" t="s">
        <v>169</v>
      </c>
      <c r="E41" t="s">
        <v>173</v>
      </c>
      <c r="F41" t="s">
        <v>129</v>
      </c>
      <c r="G41">
        <v>1</v>
      </c>
      <c r="H41">
        <v>145800</v>
      </c>
      <c r="I41">
        <v>89000</v>
      </c>
      <c r="J41">
        <v>120000</v>
      </c>
      <c r="K41">
        <v>2</v>
      </c>
      <c r="L41">
        <v>5</v>
      </c>
      <c r="M41" t="s">
        <v>307</v>
      </c>
    </row>
    <row r="42" spans="1:13" x14ac:dyDescent="0.3">
      <c r="A42" s="1">
        <v>45802</v>
      </c>
      <c r="B42" t="s">
        <v>235</v>
      </c>
      <c r="C42" t="s">
        <v>236</v>
      </c>
      <c r="D42" t="s">
        <v>141</v>
      </c>
      <c r="E42" t="s">
        <v>176</v>
      </c>
      <c r="F42" t="s">
        <v>120</v>
      </c>
      <c r="G42">
        <v>1</v>
      </c>
      <c r="H42">
        <v>119500</v>
      </c>
      <c r="I42">
        <v>97000</v>
      </c>
      <c r="J42">
        <v>125000</v>
      </c>
      <c r="K42">
        <v>2</v>
      </c>
      <c r="L42">
        <v>5</v>
      </c>
      <c r="M42" t="s">
        <v>307</v>
      </c>
    </row>
    <row r="43" spans="1:13" x14ac:dyDescent="0.3">
      <c r="A43" s="1">
        <v>45805</v>
      </c>
      <c r="B43" t="s">
        <v>237</v>
      </c>
      <c r="C43" t="s">
        <v>140</v>
      </c>
      <c r="D43" t="s">
        <v>118</v>
      </c>
      <c r="E43" t="s">
        <v>133</v>
      </c>
      <c r="F43" t="s">
        <v>134</v>
      </c>
      <c r="G43">
        <v>1</v>
      </c>
      <c r="H43">
        <v>46900</v>
      </c>
      <c r="I43">
        <v>33000</v>
      </c>
      <c r="J43">
        <v>50000</v>
      </c>
      <c r="K43">
        <v>2</v>
      </c>
      <c r="L43">
        <v>5</v>
      </c>
      <c r="M43" t="s">
        <v>307</v>
      </c>
    </row>
    <row r="44" spans="1:13" x14ac:dyDescent="0.3">
      <c r="A44" s="1">
        <v>45810</v>
      </c>
      <c r="B44" t="s">
        <v>238</v>
      </c>
      <c r="C44" t="s">
        <v>181</v>
      </c>
      <c r="D44" t="s">
        <v>141</v>
      </c>
      <c r="E44" t="s">
        <v>133</v>
      </c>
      <c r="F44" t="s">
        <v>134</v>
      </c>
      <c r="G44">
        <v>1</v>
      </c>
      <c r="H44">
        <v>46900</v>
      </c>
      <c r="I44">
        <v>33000</v>
      </c>
      <c r="J44">
        <v>50000</v>
      </c>
      <c r="K44">
        <v>2</v>
      </c>
      <c r="L44">
        <v>6</v>
      </c>
      <c r="M44" t="s">
        <v>308</v>
      </c>
    </row>
    <row r="45" spans="1:13" x14ac:dyDescent="0.3">
      <c r="A45" s="1">
        <v>45813</v>
      </c>
      <c r="B45" t="s">
        <v>239</v>
      </c>
      <c r="C45" t="s">
        <v>183</v>
      </c>
      <c r="D45" t="s">
        <v>118</v>
      </c>
      <c r="E45" t="s">
        <v>163</v>
      </c>
      <c r="F45" t="s">
        <v>129</v>
      </c>
      <c r="G45">
        <v>1</v>
      </c>
      <c r="H45">
        <v>111900</v>
      </c>
      <c r="I45">
        <v>86000</v>
      </c>
      <c r="J45">
        <v>120000</v>
      </c>
      <c r="K45">
        <v>2</v>
      </c>
      <c r="L45">
        <v>6</v>
      </c>
      <c r="M45" t="s">
        <v>308</v>
      </c>
    </row>
    <row r="46" spans="1:13" x14ac:dyDescent="0.3">
      <c r="A46" s="1">
        <v>45818</v>
      </c>
      <c r="B46" t="s">
        <v>240</v>
      </c>
      <c r="C46" t="s">
        <v>185</v>
      </c>
      <c r="D46" t="s">
        <v>137</v>
      </c>
      <c r="E46" t="s">
        <v>152</v>
      </c>
      <c r="F46" t="s">
        <v>153</v>
      </c>
      <c r="G46">
        <v>1</v>
      </c>
      <c r="H46">
        <v>54900</v>
      </c>
      <c r="I46">
        <v>43000</v>
      </c>
      <c r="J46">
        <v>60000</v>
      </c>
      <c r="K46">
        <v>2</v>
      </c>
      <c r="L46">
        <v>6</v>
      </c>
      <c r="M46" t="s">
        <v>308</v>
      </c>
    </row>
    <row r="47" spans="1:13" x14ac:dyDescent="0.3">
      <c r="A47" s="1">
        <v>45822</v>
      </c>
      <c r="B47" t="s">
        <v>241</v>
      </c>
      <c r="C47" t="s">
        <v>187</v>
      </c>
      <c r="D47" t="s">
        <v>132</v>
      </c>
      <c r="E47" t="s">
        <v>173</v>
      </c>
      <c r="F47" t="s">
        <v>129</v>
      </c>
      <c r="G47">
        <v>1</v>
      </c>
      <c r="H47">
        <v>145800</v>
      </c>
      <c r="I47">
        <v>89000</v>
      </c>
      <c r="J47">
        <v>120000</v>
      </c>
      <c r="K47">
        <v>2</v>
      </c>
      <c r="L47">
        <v>6</v>
      </c>
      <c r="M47" t="s">
        <v>308</v>
      </c>
    </row>
    <row r="48" spans="1:13" x14ac:dyDescent="0.3">
      <c r="A48" s="1">
        <v>45828</v>
      </c>
      <c r="B48" t="s">
        <v>242</v>
      </c>
      <c r="C48" t="s">
        <v>189</v>
      </c>
      <c r="D48" t="s">
        <v>123</v>
      </c>
      <c r="E48" t="s">
        <v>190</v>
      </c>
      <c r="F48" t="s">
        <v>120</v>
      </c>
      <c r="G48">
        <v>1</v>
      </c>
      <c r="H48">
        <v>159900</v>
      </c>
      <c r="I48">
        <v>130000</v>
      </c>
      <c r="J48">
        <v>165000</v>
      </c>
      <c r="K48">
        <v>2</v>
      </c>
      <c r="L48">
        <v>6</v>
      </c>
      <c r="M48" t="s">
        <v>308</v>
      </c>
    </row>
    <row r="49" spans="1:13" x14ac:dyDescent="0.3">
      <c r="A49" s="1">
        <v>45833</v>
      </c>
      <c r="B49" t="s">
        <v>243</v>
      </c>
      <c r="C49" t="s">
        <v>192</v>
      </c>
      <c r="D49" t="s">
        <v>146</v>
      </c>
      <c r="E49" t="s">
        <v>156</v>
      </c>
      <c r="F49" t="s">
        <v>157</v>
      </c>
      <c r="G49">
        <v>1</v>
      </c>
      <c r="H49">
        <v>68500</v>
      </c>
      <c r="I49">
        <v>49000</v>
      </c>
      <c r="J49">
        <v>72000</v>
      </c>
      <c r="K49">
        <v>2</v>
      </c>
      <c r="L49">
        <v>6</v>
      </c>
      <c r="M49" t="s">
        <v>308</v>
      </c>
    </row>
    <row r="50" spans="1:13" x14ac:dyDescent="0.3">
      <c r="A50" s="1">
        <v>45836</v>
      </c>
      <c r="B50" t="s">
        <v>244</v>
      </c>
      <c r="C50" t="s">
        <v>194</v>
      </c>
      <c r="D50" t="s">
        <v>169</v>
      </c>
      <c r="E50" t="s">
        <v>195</v>
      </c>
      <c r="F50" t="s">
        <v>148</v>
      </c>
      <c r="G50">
        <v>1</v>
      </c>
      <c r="H50">
        <v>29900</v>
      </c>
      <c r="I50">
        <v>18500</v>
      </c>
      <c r="J50">
        <v>32000</v>
      </c>
      <c r="K50">
        <v>2</v>
      </c>
      <c r="L50">
        <v>6</v>
      </c>
      <c r="M50" t="s">
        <v>308</v>
      </c>
    </row>
    <row r="51" spans="1:13" x14ac:dyDescent="0.3">
      <c r="A51" s="1">
        <v>45838</v>
      </c>
      <c r="B51" t="s">
        <v>245</v>
      </c>
      <c r="C51" t="s">
        <v>197</v>
      </c>
      <c r="D51" t="s">
        <v>151</v>
      </c>
      <c r="E51" t="s">
        <v>198</v>
      </c>
      <c r="F51" t="s">
        <v>199</v>
      </c>
      <c r="G51">
        <v>1</v>
      </c>
      <c r="H51">
        <v>10995</v>
      </c>
      <c r="I51">
        <v>8600</v>
      </c>
      <c r="J51">
        <v>11000</v>
      </c>
      <c r="K51">
        <v>2</v>
      </c>
      <c r="L51">
        <v>6</v>
      </c>
      <c r="M51" t="s">
        <v>308</v>
      </c>
    </row>
    <row r="52" spans="1:13" x14ac:dyDescent="0.3">
      <c r="A52" s="1">
        <v>45841</v>
      </c>
      <c r="B52" t="s">
        <v>246</v>
      </c>
      <c r="C52" t="s">
        <v>201</v>
      </c>
      <c r="D52" t="s">
        <v>127</v>
      </c>
      <c r="E52" t="s">
        <v>202</v>
      </c>
      <c r="F52" t="s">
        <v>199</v>
      </c>
      <c r="G52">
        <v>1</v>
      </c>
      <c r="H52">
        <v>3495</v>
      </c>
      <c r="I52">
        <v>2100</v>
      </c>
      <c r="J52">
        <v>3800</v>
      </c>
      <c r="K52">
        <v>3</v>
      </c>
      <c r="L52">
        <v>7</v>
      </c>
      <c r="M52" t="s">
        <v>309</v>
      </c>
    </row>
    <row r="53" spans="1:13" x14ac:dyDescent="0.3">
      <c r="A53" s="1">
        <v>45843</v>
      </c>
      <c r="B53" t="s">
        <v>247</v>
      </c>
      <c r="C53" t="s">
        <v>204</v>
      </c>
      <c r="D53" t="s">
        <v>141</v>
      </c>
      <c r="E53" t="s">
        <v>205</v>
      </c>
      <c r="F53" t="s">
        <v>199</v>
      </c>
      <c r="G53">
        <v>1</v>
      </c>
      <c r="H53">
        <v>9995</v>
      </c>
      <c r="I53">
        <v>6200</v>
      </c>
      <c r="J53">
        <v>10500</v>
      </c>
      <c r="K53">
        <v>3</v>
      </c>
      <c r="L53">
        <v>7</v>
      </c>
      <c r="M53" t="s">
        <v>309</v>
      </c>
    </row>
    <row r="54" spans="1:13" x14ac:dyDescent="0.3">
      <c r="A54" s="1">
        <v>45846</v>
      </c>
      <c r="B54" t="s">
        <v>248</v>
      </c>
      <c r="C54" t="s">
        <v>207</v>
      </c>
      <c r="D54" t="s">
        <v>118</v>
      </c>
      <c r="E54" t="s">
        <v>208</v>
      </c>
      <c r="F54" t="s">
        <v>129</v>
      </c>
      <c r="G54">
        <v>1</v>
      </c>
      <c r="H54">
        <v>98000</v>
      </c>
      <c r="I54">
        <v>75000</v>
      </c>
      <c r="J54">
        <v>105000</v>
      </c>
      <c r="K54">
        <v>3</v>
      </c>
      <c r="L54">
        <v>7</v>
      </c>
      <c r="M54" t="s">
        <v>309</v>
      </c>
    </row>
    <row r="55" spans="1:13" x14ac:dyDescent="0.3">
      <c r="A55" s="1">
        <v>45850</v>
      </c>
      <c r="B55" t="s">
        <v>249</v>
      </c>
      <c r="C55" t="s">
        <v>210</v>
      </c>
      <c r="D55" t="s">
        <v>132</v>
      </c>
      <c r="E55" t="s">
        <v>124</v>
      </c>
      <c r="F55" t="s">
        <v>120</v>
      </c>
      <c r="G55">
        <v>1</v>
      </c>
      <c r="K55">
        <v>3</v>
      </c>
      <c r="L55">
        <v>7</v>
      </c>
      <c r="M55" t="s">
        <v>309</v>
      </c>
    </row>
    <row r="56" spans="1:13" x14ac:dyDescent="0.3">
      <c r="A56" s="1">
        <v>45846</v>
      </c>
      <c r="B56" t="s">
        <v>248</v>
      </c>
      <c r="C56" t="s">
        <v>207</v>
      </c>
      <c r="D56" t="s">
        <v>118</v>
      </c>
      <c r="E56" t="s">
        <v>208</v>
      </c>
      <c r="F56" t="s">
        <v>129</v>
      </c>
      <c r="G56">
        <v>1</v>
      </c>
      <c r="H56">
        <v>98000</v>
      </c>
      <c r="I56">
        <v>75000</v>
      </c>
      <c r="J56">
        <v>105000</v>
      </c>
      <c r="K56">
        <v>3</v>
      </c>
      <c r="L56">
        <v>7</v>
      </c>
      <c r="M56" t="s">
        <v>309</v>
      </c>
    </row>
    <row r="57" spans="1:13" x14ac:dyDescent="0.3">
      <c r="A57" s="1">
        <v>45850</v>
      </c>
      <c r="B57" t="s">
        <v>249</v>
      </c>
      <c r="C57" t="s">
        <v>210</v>
      </c>
      <c r="D57" t="s">
        <v>132</v>
      </c>
      <c r="E57" t="s">
        <v>124</v>
      </c>
      <c r="F57" t="s">
        <v>120</v>
      </c>
      <c r="G57">
        <v>1</v>
      </c>
      <c r="H57">
        <v>142500</v>
      </c>
      <c r="I57">
        <v>108000</v>
      </c>
      <c r="J57">
        <v>145000</v>
      </c>
      <c r="K57">
        <v>3</v>
      </c>
      <c r="L57">
        <v>7</v>
      </c>
      <c r="M57" t="s">
        <v>309</v>
      </c>
    </row>
    <row r="58" spans="1:13" x14ac:dyDescent="0.3">
      <c r="A58" s="1">
        <v>45853</v>
      </c>
      <c r="B58" t="s">
        <v>250</v>
      </c>
      <c r="C58" t="s">
        <v>212</v>
      </c>
      <c r="D58" t="s">
        <v>137</v>
      </c>
      <c r="E58" t="s">
        <v>142</v>
      </c>
      <c r="F58" t="s">
        <v>143</v>
      </c>
      <c r="G58">
        <v>1</v>
      </c>
      <c r="H58">
        <v>187900</v>
      </c>
      <c r="I58">
        <v>145000</v>
      </c>
      <c r="J58">
        <v>200000</v>
      </c>
      <c r="K58">
        <v>3</v>
      </c>
      <c r="L58">
        <v>7</v>
      </c>
      <c r="M58" t="s">
        <v>309</v>
      </c>
    </row>
    <row r="59" spans="1:13" x14ac:dyDescent="0.3">
      <c r="A59" s="1">
        <v>45856</v>
      </c>
      <c r="B59" t="s">
        <v>251</v>
      </c>
      <c r="C59" t="s">
        <v>214</v>
      </c>
      <c r="D59" t="s">
        <v>146</v>
      </c>
      <c r="E59" t="s">
        <v>147</v>
      </c>
      <c r="F59" t="s">
        <v>148</v>
      </c>
      <c r="G59">
        <v>1</v>
      </c>
      <c r="H59">
        <v>24900</v>
      </c>
      <c r="I59">
        <v>18500</v>
      </c>
      <c r="J59">
        <v>28000</v>
      </c>
      <c r="K59">
        <v>3</v>
      </c>
      <c r="L59">
        <v>7</v>
      </c>
      <c r="M59" t="s">
        <v>309</v>
      </c>
    </row>
    <row r="60" spans="1:13" x14ac:dyDescent="0.3">
      <c r="A60" s="1">
        <v>45860</v>
      </c>
      <c r="B60" t="s">
        <v>252</v>
      </c>
      <c r="C60" t="s">
        <v>216</v>
      </c>
      <c r="D60" t="s">
        <v>141</v>
      </c>
      <c r="E60" t="s">
        <v>128</v>
      </c>
      <c r="F60" t="s">
        <v>129</v>
      </c>
      <c r="G60">
        <v>1</v>
      </c>
      <c r="H60">
        <v>134000</v>
      </c>
      <c r="I60">
        <v>104000</v>
      </c>
      <c r="J60">
        <v>140000</v>
      </c>
      <c r="K60">
        <v>3</v>
      </c>
      <c r="L60">
        <v>7</v>
      </c>
      <c r="M60" t="s">
        <v>309</v>
      </c>
    </row>
    <row r="61" spans="1:13" x14ac:dyDescent="0.3">
      <c r="A61" s="1">
        <v>45863</v>
      </c>
      <c r="B61" t="s">
        <v>253</v>
      </c>
      <c r="C61" t="s">
        <v>218</v>
      </c>
      <c r="D61" t="s">
        <v>169</v>
      </c>
      <c r="E61" t="s">
        <v>133</v>
      </c>
      <c r="F61" t="s">
        <v>134</v>
      </c>
      <c r="G61">
        <v>1</v>
      </c>
      <c r="H61">
        <v>46900</v>
      </c>
      <c r="I61">
        <v>33000</v>
      </c>
      <c r="J61">
        <v>50000</v>
      </c>
      <c r="K61">
        <v>3</v>
      </c>
      <c r="L61">
        <v>7</v>
      </c>
      <c r="M61" t="s">
        <v>309</v>
      </c>
    </row>
    <row r="62" spans="1:13" x14ac:dyDescent="0.3">
      <c r="A62" s="1">
        <v>45866</v>
      </c>
      <c r="B62" t="s">
        <v>254</v>
      </c>
      <c r="C62" t="s">
        <v>220</v>
      </c>
      <c r="D62" t="s">
        <v>127</v>
      </c>
      <c r="E62" t="s">
        <v>152</v>
      </c>
      <c r="F62" t="s">
        <v>153</v>
      </c>
      <c r="G62">
        <v>1</v>
      </c>
      <c r="H62">
        <v>54900</v>
      </c>
      <c r="I62">
        <v>43000</v>
      </c>
      <c r="J62">
        <v>60000</v>
      </c>
      <c r="K62">
        <v>3</v>
      </c>
      <c r="L62">
        <v>7</v>
      </c>
      <c r="M62" t="s">
        <v>309</v>
      </c>
    </row>
    <row r="63" spans="1:13" x14ac:dyDescent="0.3">
      <c r="A63" s="1">
        <v>45871</v>
      </c>
      <c r="B63" t="s">
        <v>255</v>
      </c>
      <c r="C63" t="s">
        <v>222</v>
      </c>
      <c r="D63" t="s">
        <v>132</v>
      </c>
      <c r="E63" t="s">
        <v>138</v>
      </c>
      <c r="F63" t="s">
        <v>129</v>
      </c>
      <c r="G63">
        <v>1</v>
      </c>
      <c r="H63">
        <v>109800</v>
      </c>
      <c r="I63">
        <v>87000</v>
      </c>
      <c r="J63">
        <v>120000</v>
      </c>
      <c r="K63">
        <v>3</v>
      </c>
      <c r="L63">
        <v>8</v>
      </c>
      <c r="M63" t="s">
        <v>310</v>
      </c>
    </row>
    <row r="64" spans="1:13" x14ac:dyDescent="0.3">
      <c r="A64" s="1">
        <v>45874</v>
      </c>
      <c r="B64" t="s">
        <v>256</v>
      </c>
      <c r="C64" t="s">
        <v>224</v>
      </c>
      <c r="D64" t="s">
        <v>123</v>
      </c>
      <c r="E64" t="s">
        <v>156</v>
      </c>
      <c r="F64" t="s">
        <v>157</v>
      </c>
      <c r="G64">
        <v>1</v>
      </c>
      <c r="H64">
        <v>68500</v>
      </c>
      <c r="I64">
        <v>49000</v>
      </c>
      <c r="J64">
        <v>72000</v>
      </c>
      <c r="K64">
        <v>3</v>
      </c>
      <c r="L64">
        <v>8</v>
      </c>
      <c r="M64" t="s">
        <v>310</v>
      </c>
    </row>
    <row r="65" spans="1:13" x14ac:dyDescent="0.3">
      <c r="A65" s="1">
        <v>45877</v>
      </c>
      <c r="B65" t="s">
        <v>257</v>
      </c>
      <c r="C65" t="s">
        <v>226</v>
      </c>
      <c r="D65" t="s">
        <v>137</v>
      </c>
      <c r="E65" t="s">
        <v>163</v>
      </c>
      <c r="F65" t="s">
        <v>129</v>
      </c>
      <c r="G65">
        <v>1</v>
      </c>
      <c r="H65">
        <v>111900</v>
      </c>
      <c r="I65">
        <v>89000</v>
      </c>
      <c r="J65">
        <v>120000</v>
      </c>
      <c r="K65">
        <v>3</v>
      </c>
      <c r="L65">
        <v>8</v>
      </c>
      <c r="M65" t="s">
        <v>310</v>
      </c>
    </row>
    <row r="66" spans="1:13" x14ac:dyDescent="0.3">
      <c r="A66" s="1">
        <v>45881</v>
      </c>
      <c r="B66" t="s">
        <v>258</v>
      </c>
      <c r="C66" t="s">
        <v>228</v>
      </c>
      <c r="D66" t="s">
        <v>151</v>
      </c>
      <c r="E66" t="s">
        <v>119</v>
      </c>
      <c r="F66" t="s">
        <v>120</v>
      </c>
      <c r="G66">
        <v>2</v>
      </c>
      <c r="H66">
        <v>124900</v>
      </c>
      <c r="I66">
        <v>102000</v>
      </c>
      <c r="J66">
        <v>130000</v>
      </c>
      <c r="K66">
        <v>3</v>
      </c>
      <c r="L66">
        <v>8</v>
      </c>
      <c r="M66" t="s">
        <v>310</v>
      </c>
    </row>
    <row r="67" spans="1:13" x14ac:dyDescent="0.3">
      <c r="A67" s="1">
        <v>45884</v>
      </c>
      <c r="B67" t="s">
        <v>259</v>
      </c>
      <c r="C67" t="s">
        <v>230</v>
      </c>
      <c r="D67" t="s">
        <v>146</v>
      </c>
      <c r="E67" t="s">
        <v>166</v>
      </c>
      <c r="F67" t="s">
        <v>129</v>
      </c>
      <c r="G67">
        <v>1</v>
      </c>
      <c r="H67">
        <v>249000</v>
      </c>
      <c r="I67">
        <v>198000</v>
      </c>
      <c r="J67">
        <v>260000</v>
      </c>
      <c r="K67">
        <v>3</v>
      </c>
      <c r="L67">
        <v>8</v>
      </c>
      <c r="M67" t="s">
        <v>310</v>
      </c>
    </row>
    <row r="68" spans="1:13" x14ac:dyDescent="0.3">
      <c r="A68" s="1">
        <v>45887</v>
      </c>
      <c r="B68" t="s">
        <v>260</v>
      </c>
      <c r="C68" t="s">
        <v>232</v>
      </c>
      <c r="D68" t="s">
        <v>132</v>
      </c>
      <c r="E68" t="s">
        <v>170</v>
      </c>
      <c r="F68" t="s">
        <v>143</v>
      </c>
      <c r="G68">
        <v>1</v>
      </c>
      <c r="H68">
        <v>219000</v>
      </c>
      <c r="I68">
        <v>165000</v>
      </c>
      <c r="J68">
        <v>240000</v>
      </c>
      <c r="K68">
        <v>3</v>
      </c>
      <c r="L68">
        <v>8</v>
      </c>
      <c r="M68" t="s">
        <v>310</v>
      </c>
    </row>
    <row r="69" spans="1:13" x14ac:dyDescent="0.3">
      <c r="A69" s="1">
        <v>45891</v>
      </c>
      <c r="B69" t="s">
        <v>261</v>
      </c>
      <c r="C69" t="s">
        <v>234</v>
      </c>
      <c r="D69" t="s">
        <v>169</v>
      </c>
      <c r="E69" t="s">
        <v>173</v>
      </c>
      <c r="F69" t="s">
        <v>129</v>
      </c>
      <c r="G69">
        <v>1</v>
      </c>
      <c r="H69">
        <v>145800</v>
      </c>
      <c r="I69">
        <v>89000</v>
      </c>
      <c r="J69">
        <v>120000</v>
      </c>
      <c r="K69">
        <v>3</v>
      </c>
      <c r="L69">
        <v>8</v>
      </c>
      <c r="M69" t="s">
        <v>310</v>
      </c>
    </row>
    <row r="70" spans="1:13" x14ac:dyDescent="0.3">
      <c r="A70" s="1">
        <v>45894</v>
      </c>
      <c r="B70" t="s">
        <v>262</v>
      </c>
      <c r="C70" t="s">
        <v>236</v>
      </c>
      <c r="D70" t="s">
        <v>141</v>
      </c>
      <c r="E70" t="s">
        <v>176</v>
      </c>
      <c r="F70" t="s">
        <v>120</v>
      </c>
      <c r="G70">
        <v>1</v>
      </c>
      <c r="H70">
        <v>119500</v>
      </c>
      <c r="I70">
        <v>97000</v>
      </c>
      <c r="J70">
        <v>125000</v>
      </c>
      <c r="K70">
        <v>3</v>
      </c>
      <c r="L70">
        <v>8</v>
      </c>
      <c r="M70" t="s">
        <v>310</v>
      </c>
    </row>
    <row r="71" spans="1:13" x14ac:dyDescent="0.3">
      <c r="A71" s="1">
        <v>45897</v>
      </c>
      <c r="B71" t="s">
        <v>263</v>
      </c>
      <c r="C71" t="s">
        <v>140</v>
      </c>
      <c r="D71" t="s">
        <v>118</v>
      </c>
      <c r="E71" t="s">
        <v>133</v>
      </c>
      <c r="F71" t="s">
        <v>134</v>
      </c>
      <c r="G71">
        <v>1</v>
      </c>
      <c r="H71">
        <v>46900</v>
      </c>
      <c r="I71">
        <v>33000</v>
      </c>
      <c r="J71">
        <v>50000</v>
      </c>
      <c r="K71">
        <v>3</v>
      </c>
      <c r="L71">
        <v>8</v>
      </c>
      <c r="M71" t="s">
        <v>310</v>
      </c>
    </row>
    <row r="72" spans="1:13" x14ac:dyDescent="0.3">
      <c r="A72" s="1">
        <v>45902</v>
      </c>
      <c r="B72" t="s">
        <v>264</v>
      </c>
      <c r="C72" t="s">
        <v>181</v>
      </c>
      <c r="D72" t="s">
        <v>141</v>
      </c>
      <c r="E72" t="s">
        <v>133</v>
      </c>
      <c r="F72" t="s">
        <v>134</v>
      </c>
      <c r="G72">
        <v>1</v>
      </c>
      <c r="H72">
        <v>46900</v>
      </c>
      <c r="I72">
        <v>33000</v>
      </c>
      <c r="J72">
        <v>50000</v>
      </c>
      <c r="K72">
        <v>3</v>
      </c>
      <c r="L72">
        <v>9</v>
      </c>
      <c r="M72" t="s">
        <v>311</v>
      </c>
    </row>
    <row r="73" spans="1:13" x14ac:dyDescent="0.3">
      <c r="A73" s="1">
        <v>45905</v>
      </c>
      <c r="B73" t="s">
        <v>265</v>
      </c>
      <c r="C73" t="s">
        <v>183</v>
      </c>
      <c r="D73" t="s">
        <v>118</v>
      </c>
      <c r="E73" t="s">
        <v>163</v>
      </c>
      <c r="F73" t="s">
        <v>129</v>
      </c>
      <c r="G73">
        <v>1</v>
      </c>
      <c r="H73">
        <v>111900</v>
      </c>
      <c r="I73">
        <v>86000</v>
      </c>
      <c r="J73">
        <v>120000</v>
      </c>
      <c r="K73">
        <v>3</v>
      </c>
      <c r="L73">
        <v>9</v>
      </c>
      <c r="M73" t="s">
        <v>311</v>
      </c>
    </row>
    <row r="74" spans="1:13" x14ac:dyDescent="0.3">
      <c r="A74" s="1">
        <v>45910</v>
      </c>
      <c r="B74" t="s">
        <v>266</v>
      </c>
      <c r="C74" t="s">
        <v>185</v>
      </c>
      <c r="D74" t="s">
        <v>137</v>
      </c>
      <c r="E74" t="s">
        <v>152</v>
      </c>
      <c r="F74" t="s">
        <v>153</v>
      </c>
      <c r="G74">
        <v>1</v>
      </c>
      <c r="H74">
        <v>54900</v>
      </c>
      <c r="I74">
        <v>43000</v>
      </c>
      <c r="J74">
        <v>60000</v>
      </c>
      <c r="K74">
        <v>3</v>
      </c>
      <c r="L74">
        <v>9</v>
      </c>
      <c r="M74" t="s">
        <v>311</v>
      </c>
    </row>
    <row r="75" spans="1:13" x14ac:dyDescent="0.3">
      <c r="A75" s="1">
        <v>45914</v>
      </c>
      <c r="B75" t="s">
        <v>267</v>
      </c>
      <c r="C75" t="s">
        <v>187</v>
      </c>
      <c r="D75" t="s">
        <v>132</v>
      </c>
      <c r="E75" t="s">
        <v>173</v>
      </c>
      <c r="F75" t="s">
        <v>129</v>
      </c>
      <c r="G75">
        <v>1</v>
      </c>
      <c r="H75">
        <v>145800</v>
      </c>
      <c r="I75">
        <v>89000</v>
      </c>
      <c r="J75">
        <v>120000</v>
      </c>
      <c r="K75">
        <v>3</v>
      </c>
      <c r="L75">
        <v>9</v>
      </c>
      <c r="M75" t="s">
        <v>311</v>
      </c>
    </row>
    <row r="76" spans="1:13" x14ac:dyDescent="0.3">
      <c r="A76" s="1">
        <v>45920</v>
      </c>
      <c r="B76" t="s">
        <v>268</v>
      </c>
      <c r="C76" t="s">
        <v>189</v>
      </c>
      <c r="D76" t="s">
        <v>123</v>
      </c>
      <c r="E76" t="s">
        <v>190</v>
      </c>
      <c r="F76" t="s">
        <v>120</v>
      </c>
      <c r="G76">
        <v>1</v>
      </c>
      <c r="H76">
        <v>159900</v>
      </c>
      <c r="I76">
        <v>130000</v>
      </c>
      <c r="J76">
        <v>165000</v>
      </c>
      <c r="K76">
        <v>3</v>
      </c>
      <c r="L76">
        <v>9</v>
      </c>
      <c r="M76" t="s">
        <v>311</v>
      </c>
    </row>
    <row r="77" spans="1:13" x14ac:dyDescent="0.3">
      <c r="A77" s="1">
        <v>45925</v>
      </c>
      <c r="B77" t="s">
        <v>269</v>
      </c>
      <c r="C77" t="s">
        <v>192</v>
      </c>
      <c r="D77" t="s">
        <v>146</v>
      </c>
      <c r="E77" t="s">
        <v>156</v>
      </c>
      <c r="F77" t="s">
        <v>157</v>
      </c>
      <c r="G77">
        <v>1</v>
      </c>
      <c r="H77">
        <v>68500</v>
      </c>
      <c r="I77">
        <v>49000</v>
      </c>
      <c r="J77">
        <v>72000</v>
      </c>
      <c r="K77">
        <v>3</v>
      </c>
      <c r="L77">
        <v>9</v>
      </c>
      <c r="M77" t="s">
        <v>311</v>
      </c>
    </row>
    <row r="78" spans="1:13" x14ac:dyDescent="0.3">
      <c r="A78" s="1">
        <v>45928</v>
      </c>
      <c r="B78" t="s">
        <v>270</v>
      </c>
      <c r="C78" t="s">
        <v>194</v>
      </c>
      <c r="D78" t="s">
        <v>169</v>
      </c>
      <c r="E78" t="s">
        <v>195</v>
      </c>
      <c r="F78" t="s">
        <v>148</v>
      </c>
      <c r="G78">
        <v>1</v>
      </c>
      <c r="H78">
        <v>29900</v>
      </c>
      <c r="I78">
        <v>18500</v>
      </c>
      <c r="J78">
        <v>32000</v>
      </c>
      <c r="K78">
        <v>3</v>
      </c>
      <c r="L78">
        <v>9</v>
      </c>
      <c r="M78" t="s">
        <v>311</v>
      </c>
    </row>
    <row r="79" spans="1:13" x14ac:dyDescent="0.3">
      <c r="A79" s="1">
        <v>45930</v>
      </c>
      <c r="B79" t="s">
        <v>271</v>
      </c>
      <c r="C79" t="s">
        <v>197</v>
      </c>
      <c r="D79" t="s">
        <v>151</v>
      </c>
      <c r="E79" t="s">
        <v>198</v>
      </c>
      <c r="F79" t="s">
        <v>199</v>
      </c>
      <c r="G79">
        <v>1</v>
      </c>
      <c r="H79">
        <v>10995</v>
      </c>
      <c r="I79">
        <v>8600</v>
      </c>
      <c r="J79">
        <v>11000</v>
      </c>
      <c r="K79">
        <v>3</v>
      </c>
      <c r="L79">
        <v>9</v>
      </c>
      <c r="M79" t="s">
        <v>311</v>
      </c>
    </row>
    <row r="80" spans="1:13" x14ac:dyDescent="0.3">
      <c r="A80" s="1">
        <v>45933</v>
      </c>
      <c r="B80" t="s">
        <v>272</v>
      </c>
      <c r="C80" t="s">
        <v>201</v>
      </c>
      <c r="D80" t="s">
        <v>127</v>
      </c>
      <c r="E80" t="s">
        <v>202</v>
      </c>
      <c r="F80" t="s">
        <v>199</v>
      </c>
      <c r="G80">
        <v>1</v>
      </c>
      <c r="H80">
        <v>3495</v>
      </c>
      <c r="I80">
        <v>2100</v>
      </c>
      <c r="J80">
        <v>3800</v>
      </c>
      <c r="K80">
        <v>4</v>
      </c>
      <c r="L80">
        <v>10</v>
      </c>
      <c r="M80" t="s">
        <v>312</v>
      </c>
    </row>
    <row r="81" spans="1:13" x14ac:dyDescent="0.3">
      <c r="A81" s="1">
        <v>45935</v>
      </c>
      <c r="B81" t="s">
        <v>273</v>
      </c>
      <c r="C81" t="s">
        <v>204</v>
      </c>
      <c r="D81" t="s">
        <v>141</v>
      </c>
      <c r="E81" t="s">
        <v>205</v>
      </c>
      <c r="F81" t="s">
        <v>199</v>
      </c>
      <c r="G81">
        <v>1</v>
      </c>
      <c r="H81">
        <v>9995</v>
      </c>
      <c r="I81">
        <v>6200</v>
      </c>
      <c r="J81">
        <v>10500</v>
      </c>
      <c r="K81">
        <v>4</v>
      </c>
      <c r="L81">
        <v>10</v>
      </c>
      <c r="M81" t="s">
        <v>312</v>
      </c>
    </row>
    <row r="82" spans="1:13" x14ac:dyDescent="0.3">
      <c r="A82" s="1">
        <v>45938</v>
      </c>
      <c r="B82" t="s">
        <v>274</v>
      </c>
      <c r="C82" t="s">
        <v>207</v>
      </c>
      <c r="D82" t="s">
        <v>118</v>
      </c>
      <c r="E82" t="s">
        <v>208</v>
      </c>
      <c r="F82" t="s">
        <v>129</v>
      </c>
      <c r="G82">
        <v>1</v>
      </c>
      <c r="H82">
        <v>98000</v>
      </c>
      <c r="I82">
        <v>75000</v>
      </c>
      <c r="J82">
        <v>105000</v>
      </c>
      <c r="K82">
        <v>4</v>
      </c>
      <c r="L82">
        <v>10</v>
      </c>
      <c r="M82" t="s">
        <v>312</v>
      </c>
    </row>
    <row r="83" spans="1:13" x14ac:dyDescent="0.3">
      <c r="A83" s="1">
        <v>45942</v>
      </c>
      <c r="B83" t="s">
        <v>275</v>
      </c>
      <c r="C83" t="s">
        <v>210</v>
      </c>
      <c r="D83" t="s">
        <v>132</v>
      </c>
      <c r="E83" t="s">
        <v>124</v>
      </c>
      <c r="F83" t="s">
        <v>120</v>
      </c>
      <c r="G83">
        <v>1</v>
      </c>
      <c r="H83">
        <v>142500</v>
      </c>
      <c r="I83">
        <v>108000</v>
      </c>
      <c r="J83">
        <v>145000</v>
      </c>
      <c r="K83">
        <v>4</v>
      </c>
      <c r="L83">
        <v>10</v>
      </c>
      <c r="M83" t="s">
        <v>312</v>
      </c>
    </row>
    <row r="84" spans="1:13" x14ac:dyDescent="0.3">
      <c r="A84" s="1">
        <v>45945</v>
      </c>
      <c r="B84" t="s">
        <v>276</v>
      </c>
      <c r="C84" t="s">
        <v>212</v>
      </c>
      <c r="D84" t="s">
        <v>137</v>
      </c>
      <c r="E84" t="s">
        <v>142</v>
      </c>
      <c r="F84" t="s">
        <v>143</v>
      </c>
      <c r="G84">
        <v>1</v>
      </c>
      <c r="H84">
        <v>187900</v>
      </c>
      <c r="I84">
        <v>145000</v>
      </c>
      <c r="J84">
        <v>200000</v>
      </c>
      <c r="K84">
        <v>4</v>
      </c>
      <c r="L84">
        <v>10</v>
      </c>
      <c r="M84" t="s">
        <v>312</v>
      </c>
    </row>
    <row r="85" spans="1:13" x14ac:dyDescent="0.3">
      <c r="A85" s="1">
        <v>45948</v>
      </c>
      <c r="B85" t="s">
        <v>277</v>
      </c>
      <c r="C85" t="s">
        <v>214</v>
      </c>
      <c r="D85" t="s">
        <v>146</v>
      </c>
      <c r="E85" t="s">
        <v>147</v>
      </c>
      <c r="F85" t="s">
        <v>148</v>
      </c>
      <c r="G85">
        <v>1</v>
      </c>
      <c r="H85">
        <v>24900</v>
      </c>
      <c r="I85">
        <v>18500</v>
      </c>
      <c r="J85">
        <v>28000</v>
      </c>
      <c r="K85">
        <v>4</v>
      </c>
      <c r="L85">
        <v>10</v>
      </c>
      <c r="M85" t="s">
        <v>312</v>
      </c>
    </row>
    <row r="86" spans="1:13" x14ac:dyDescent="0.3">
      <c r="A86" s="1">
        <v>45952</v>
      </c>
      <c r="B86" t="s">
        <v>278</v>
      </c>
      <c r="C86" t="s">
        <v>216</v>
      </c>
      <c r="D86" t="s">
        <v>141</v>
      </c>
      <c r="E86" t="s">
        <v>128</v>
      </c>
      <c r="F86" t="s">
        <v>129</v>
      </c>
      <c r="G86">
        <v>1</v>
      </c>
      <c r="H86">
        <v>134000</v>
      </c>
      <c r="I86">
        <v>104000</v>
      </c>
      <c r="J86">
        <v>140000</v>
      </c>
      <c r="K86">
        <v>4</v>
      </c>
      <c r="L86">
        <v>10</v>
      </c>
      <c r="M86" t="s">
        <v>312</v>
      </c>
    </row>
    <row r="87" spans="1:13" x14ac:dyDescent="0.3">
      <c r="A87" s="1">
        <v>45955</v>
      </c>
      <c r="B87" t="s">
        <v>279</v>
      </c>
      <c r="C87" t="s">
        <v>218</v>
      </c>
      <c r="D87" t="s">
        <v>169</v>
      </c>
      <c r="E87" t="s">
        <v>133</v>
      </c>
      <c r="F87" t="s">
        <v>134</v>
      </c>
      <c r="G87">
        <v>1</v>
      </c>
      <c r="H87">
        <v>46900</v>
      </c>
      <c r="I87">
        <v>33000</v>
      </c>
      <c r="J87">
        <v>50000</v>
      </c>
      <c r="K87">
        <v>4</v>
      </c>
      <c r="L87">
        <v>10</v>
      </c>
      <c r="M87" t="s">
        <v>312</v>
      </c>
    </row>
    <row r="88" spans="1:13" x14ac:dyDescent="0.3">
      <c r="A88" s="1">
        <v>45958</v>
      </c>
      <c r="B88" t="s">
        <v>280</v>
      </c>
      <c r="C88" t="s">
        <v>220</v>
      </c>
      <c r="D88" t="s">
        <v>127</v>
      </c>
      <c r="E88" t="s">
        <v>152</v>
      </c>
      <c r="F88" t="s">
        <v>153</v>
      </c>
      <c r="G88">
        <v>1</v>
      </c>
      <c r="H88">
        <v>54900</v>
      </c>
      <c r="I88">
        <v>43000</v>
      </c>
      <c r="J88">
        <v>60000</v>
      </c>
      <c r="K88">
        <v>4</v>
      </c>
      <c r="L88">
        <v>10</v>
      </c>
      <c r="M88" t="s">
        <v>312</v>
      </c>
    </row>
    <row r="89" spans="1:13" x14ac:dyDescent="0.3">
      <c r="A89" s="1">
        <v>45963</v>
      </c>
      <c r="B89" t="s">
        <v>281</v>
      </c>
      <c r="C89" t="s">
        <v>222</v>
      </c>
      <c r="D89" t="s">
        <v>132</v>
      </c>
      <c r="E89" t="s">
        <v>138</v>
      </c>
      <c r="F89" t="s">
        <v>129</v>
      </c>
      <c r="G89">
        <v>1</v>
      </c>
      <c r="H89">
        <v>109800</v>
      </c>
      <c r="I89">
        <v>87000</v>
      </c>
      <c r="J89">
        <v>120000</v>
      </c>
      <c r="K89">
        <v>4</v>
      </c>
      <c r="L89">
        <v>11</v>
      </c>
      <c r="M89" t="s">
        <v>313</v>
      </c>
    </row>
    <row r="90" spans="1:13" x14ac:dyDescent="0.3">
      <c r="A90" s="1">
        <v>45966</v>
      </c>
      <c r="B90" t="s">
        <v>282</v>
      </c>
      <c r="C90" t="s">
        <v>224</v>
      </c>
      <c r="D90" t="s">
        <v>123</v>
      </c>
      <c r="E90" t="s">
        <v>156</v>
      </c>
      <c r="F90" t="s">
        <v>157</v>
      </c>
      <c r="G90">
        <v>1</v>
      </c>
      <c r="H90">
        <v>68500</v>
      </c>
      <c r="I90">
        <v>49000</v>
      </c>
      <c r="J90">
        <v>72000</v>
      </c>
      <c r="K90">
        <v>4</v>
      </c>
      <c r="L90">
        <v>11</v>
      </c>
      <c r="M90" t="s">
        <v>313</v>
      </c>
    </row>
    <row r="91" spans="1:13" x14ac:dyDescent="0.3">
      <c r="A91" s="1">
        <v>45969</v>
      </c>
      <c r="B91" t="s">
        <v>283</v>
      </c>
      <c r="C91" t="s">
        <v>226</v>
      </c>
      <c r="D91" t="s">
        <v>137</v>
      </c>
      <c r="E91" t="s">
        <v>163</v>
      </c>
      <c r="F91" t="s">
        <v>129</v>
      </c>
      <c r="G91">
        <v>1</v>
      </c>
      <c r="H91">
        <v>111900</v>
      </c>
      <c r="I91">
        <v>89000</v>
      </c>
      <c r="J91">
        <v>120000</v>
      </c>
      <c r="K91">
        <v>4</v>
      </c>
      <c r="L91">
        <v>11</v>
      </c>
      <c r="M91" t="s">
        <v>313</v>
      </c>
    </row>
    <row r="92" spans="1:13" x14ac:dyDescent="0.3">
      <c r="A92" s="1">
        <v>45973</v>
      </c>
      <c r="B92" t="s">
        <v>284</v>
      </c>
      <c r="C92" t="s">
        <v>228</v>
      </c>
      <c r="D92" t="s">
        <v>151</v>
      </c>
      <c r="E92" t="s">
        <v>119</v>
      </c>
      <c r="F92" t="s">
        <v>120</v>
      </c>
      <c r="G92">
        <v>2</v>
      </c>
      <c r="H92">
        <v>124900</v>
      </c>
      <c r="I92">
        <v>102000</v>
      </c>
      <c r="J92">
        <v>130000</v>
      </c>
      <c r="K92">
        <v>4</v>
      </c>
      <c r="L92">
        <v>11</v>
      </c>
      <c r="M92" t="s">
        <v>313</v>
      </c>
    </row>
    <row r="93" spans="1:13" x14ac:dyDescent="0.3">
      <c r="A93" s="1">
        <v>45976</v>
      </c>
      <c r="B93" t="s">
        <v>285</v>
      </c>
      <c r="C93" t="s">
        <v>230</v>
      </c>
      <c r="D93" t="s">
        <v>146</v>
      </c>
      <c r="E93" t="s">
        <v>166</v>
      </c>
      <c r="F93" t="s">
        <v>129</v>
      </c>
      <c r="G93">
        <v>1</v>
      </c>
      <c r="H93">
        <v>249000</v>
      </c>
      <c r="I93">
        <v>198000</v>
      </c>
      <c r="J93">
        <v>260000</v>
      </c>
      <c r="K93">
        <v>4</v>
      </c>
      <c r="L93">
        <v>11</v>
      </c>
      <c r="M93" t="s">
        <v>313</v>
      </c>
    </row>
    <row r="94" spans="1:13" x14ac:dyDescent="0.3">
      <c r="A94" s="1">
        <v>45979</v>
      </c>
      <c r="B94" t="s">
        <v>286</v>
      </c>
      <c r="C94" t="s">
        <v>232</v>
      </c>
      <c r="D94" t="s">
        <v>132</v>
      </c>
      <c r="E94" t="s">
        <v>170</v>
      </c>
      <c r="F94" t="s">
        <v>143</v>
      </c>
      <c r="G94">
        <v>1</v>
      </c>
      <c r="H94">
        <v>219000</v>
      </c>
      <c r="I94">
        <v>165000</v>
      </c>
      <c r="J94">
        <v>240000</v>
      </c>
      <c r="K94">
        <v>4</v>
      </c>
      <c r="L94">
        <v>11</v>
      </c>
      <c r="M94" t="s">
        <v>313</v>
      </c>
    </row>
    <row r="95" spans="1:13" x14ac:dyDescent="0.3">
      <c r="A95" s="1">
        <v>45983</v>
      </c>
      <c r="B95" t="s">
        <v>287</v>
      </c>
      <c r="C95" t="s">
        <v>234</v>
      </c>
      <c r="D95" t="s">
        <v>169</v>
      </c>
      <c r="E95" t="s">
        <v>173</v>
      </c>
      <c r="F95" t="s">
        <v>129</v>
      </c>
      <c r="G95">
        <v>1</v>
      </c>
      <c r="H95">
        <v>145800</v>
      </c>
      <c r="I95">
        <v>89000</v>
      </c>
      <c r="J95">
        <v>120000</v>
      </c>
      <c r="K95">
        <v>4</v>
      </c>
      <c r="L95">
        <v>11</v>
      </c>
      <c r="M95" t="s">
        <v>313</v>
      </c>
    </row>
    <row r="96" spans="1:13" x14ac:dyDescent="0.3">
      <c r="A96" s="1">
        <v>45986</v>
      </c>
      <c r="B96" t="s">
        <v>288</v>
      </c>
      <c r="C96" t="s">
        <v>236</v>
      </c>
      <c r="D96" t="s">
        <v>141</v>
      </c>
      <c r="E96" t="s">
        <v>176</v>
      </c>
      <c r="F96" t="s">
        <v>120</v>
      </c>
      <c r="G96">
        <v>1</v>
      </c>
      <c r="H96">
        <v>119500</v>
      </c>
      <c r="I96">
        <v>97000</v>
      </c>
      <c r="J96">
        <v>125000</v>
      </c>
      <c r="K96">
        <v>4</v>
      </c>
      <c r="L96">
        <v>11</v>
      </c>
      <c r="M96" t="s">
        <v>313</v>
      </c>
    </row>
    <row r="97" spans="1:13" x14ac:dyDescent="0.3">
      <c r="A97" s="1">
        <v>45989</v>
      </c>
      <c r="B97" t="s">
        <v>289</v>
      </c>
      <c r="C97" t="s">
        <v>140</v>
      </c>
      <c r="D97" t="s">
        <v>118</v>
      </c>
      <c r="E97" t="s">
        <v>133</v>
      </c>
      <c r="F97" t="s">
        <v>134</v>
      </c>
      <c r="G97">
        <v>1</v>
      </c>
      <c r="H97">
        <v>46900</v>
      </c>
      <c r="I97">
        <v>33000</v>
      </c>
      <c r="J97">
        <v>50000</v>
      </c>
      <c r="K97">
        <v>4</v>
      </c>
      <c r="L97">
        <v>11</v>
      </c>
      <c r="M97" t="s">
        <v>313</v>
      </c>
    </row>
    <row r="98" spans="1:13" x14ac:dyDescent="0.3">
      <c r="A98" s="1">
        <v>45993</v>
      </c>
      <c r="B98" t="s">
        <v>290</v>
      </c>
      <c r="C98" t="s">
        <v>181</v>
      </c>
      <c r="D98" t="s">
        <v>141</v>
      </c>
      <c r="E98" t="s">
        <v>133</v>
      </c>
      <c r="F98" t="s">
        <v>134</v>
      </c>
      <c r="G98">
        <v>1</v>
      </c>
      <c r="H98">
        <v>46900</v>
      </c>
      <c r="I98">
        <v>33000</v>
      </c>
      <c r="J98">
        <v>50000</v>
      </c>
      <c r="K98">
        <v>4</v>
      </c>
      <c r="L98">
        <v>12</v>
      </c>
      <c r="M98" t="s">
        <v>314</v>
      </c>
    </row>
    <row r="99" spans="1:13" x14ac:dyDescent="0.3">
      <c r="A99" s="1">
        <v>45996</v>
      </c>
      <c r="B99" t="s">
        <v>291</v>
      </c>
      <c r="C99" t="s">
        <v>183</v>
      </c>
      <c r="D99" t="s">
        <v>118</v>
      </c>
      <c r="E99" t="s">
        <v>163</v>
      </c>
      <c r="F99" t="s">
        <v>129</v>
      </c>
      <c r="G99">
        <v>1</v>
      </c>
      <c r="H99">
        <v>111900</v>
      </c>
      <c r="I99">
        <v>86000</v>
      </c>
      <c r="J99">
        <v>120000</v>
      </c>
      <c r="K99">
        <v>4</v>
      </c>
      <c r="L99">
        <v>12</v>
      </c>
      <c r="M99" t="s">
        <v>314</v>
      </c>
    </row>
    <row r="100" spans="1:13" x14ac:dyDescent="0.3">
      <c r="A100" s="1">
        <v>46001</v>
      </c>
      <c r="B100" t="s">
        <v>292</v>
      </c>
      <c r="C100" t="s">
        <v>185</v>
      </c>
      <c r="D100" t="s">
        <v>137</v>
      </c>
      <c r="E100" t="s">
        <v>152</v>
      </c>
      <c r="F100" t="s">
        <v>153</v>
      </c>
      <c r="G100">
        <v>1</v>
      </c>
      <c r="H100">
        <v>54900</v>
      </c>
      <c r="I100">
        <v>43000</v>
      </c>
      <c r="J100">
        <v>60000</v>
      </c>
      <c r="K100">
        <v>4</v>
      </c>
      <c r="L100">
        <v>12</v>
      </c>
      <c r="M100" t="s">
        <v>314</v>
      </c>
    </row>
    <row r="101" spans="1:13" x14ac:dyDescent="0.3">
      <c r="A101" s="1">
        <v>46005</v>
      </c>
      <c r="B101" t="s">
        <v>293</v>
      </c>
      <c r="C101" t="s">
        <v>187</v>
      </c>
      <c r="D101" t="s">
        <v>132</v>
      </c>
      <c r="E101" t="s">
        <v>173</v>
      </c>
      <c r="F101" t="s">
        <v>129</v>
      </c>
      <c r="G101">
        <v>1</v>
      </c>
      <c r="H101">
        <v>145800</v>
      </c>
      <c r="I101">
        <v>89000</v>
      </c>
      <c r="J101">
        <v>120000</v>
      </c>
      <c r="K101">
        <v>4</v>
      </c>
      <c r="L101">
        <v>12</v>
      </c>
      <c r="M101" t="s">
        <v>314</v>
      </c>
    </row>
    <row r="102" spans="1:13" x14ac:dyDescent="0.3">
      <c r="A102" s="1">
        <v>46011</v>
      </c>
      <c r="B102" t="s">
        <v>294</v>
      </c>
      <c r="C102" t="s">
        <v>189</v>
      </c>
      <c r="D102" t="s">
        <v>123</v>
      </c>
      <c r="E102" t="s">
        <v>190</v>
      </c>
      <c r="F102" t="s">
        <v>120</v>
      </c>
      <c r="G102">
        <v>1</v>
      </c>
      <c r="H102">
        <v>159900</v>
      </c>
      <c r="I102">
        <v>130000</v>
      </c>
      <c r="J102">
        <v>165000</v>
      </c>
      <c r="K102">
        <v>4</v>
      </c>
      <c r="L102">
        <v>12</v>
      </c>
      <c r="M102" t="s">
        <v>314</v>
      </c>
    </row>
    <row r="103" spans="1:13" x14ac:dyDescent="0.3">
      <c r="A103" s="1">
        <v>46016</v>
      </c>
      <c r="B103" t="s">
        <v>295</v>
      </c>
      <c r="C103" t="s">
        <v>192</v>
      </c>
      <c r="D103" t="s">
        <v>146</v>
      </c>
      <c r="E103" t="s">
        <v>156</v>
      </c>
      <c r="F103" t="s">
        <v>157</v>
      </c>
      <c r="G103">
        <v>1</v>
      </c>
      <c r="H103">
        <v>68500</v>
      </c>
      <c r="I103">
        <v>49000</v>
      </c>
      <c r="J103">
        <v>72000</v>
      </c>
      <c r="K103">
        <v>4</v>
      </c>
      <c r="L103">
        <v>12</v>
      </c>
      <c r="M103" t="s">
        <v>314</v>
      </c>
    </row>
    <row r="104" spans="1:13" x14ac:dyDescent="0.3">
      <c r="A104" s="1">
        <v>46019</v>
      </c>
      <c r="B104" t="s">
        <v>296</v>
      </c>
      <c r="C104" t="s">
        <v>194</v>
      </c>
      <c r="D104" t="s">
        <v>169</v>
      </c>
      <c r="E104" t="s">
        <v>195</v>
      </c>
      <c r="F104" t="s">
        <v>148</v>
      </c>
      <c r="G104">
        <v>1</v>
      </c>
      <c r="H104">
        <v>29900</v>
      </c>
      <c r="I104">
        <v>18500</v>
      </c>
      <c r="J104">
        <v>32000</v>
      </c>
      <c r="K104">
        <v>4</v>
      </c>
      <c r="L104">
        <v>12</v>
      </c>
      <c r="M104" t="s">
        <v>314</v>
      </c>
    </row>
    <row r="105" spans="1:13" x14ac:dyDescent="0.3">
      <c r="A105" s="1">
        <v>46021</v>
      </c>
      <c r="B105" t="s">
        <v>297</v>
      </c>
      <c r="C105" t="s">
        <v>197</v>
      </c>
      <c r="D105" t="s">
        <v>151</v>
      </c>
      <c r="E105" t="s">
        <v>198</v>
      </c>
      <c r="F105" t="s">
        <v>199</v>
      </c>
      <c r="G105">
        <v>1</v>
      </c>
      <c r="H105">
        <v>10995</v>
      </c>
      <c r="I105">
        <v>8600</v>
      </c>
      <c r="J105">
        <v>11000</v>
      </c>
      <c r="K105">
        <v>4</v>
      </c>
      <c r="L105">
        <v>12</v>
      </c>
      <c r="M105" t="s">
        <v>314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84090539-2B94-41BD-BA57-91B67A76072F}">
  <ds:schemaRefs/>
</ds:datastoreItem>
</file>

<file path=customXml/itemProps2.xml><?xml version="1.0" encoding="utf-8"?>
<ds:datastoreItem xmlns:ds="http://schemas.openxmlformats.org/officeDocument/2006/customXml" ds:itemID="{7AE5C90D-EBE0-4690-B2A9-A8465D0ECE77}">
  <ds:schemaRefs/>
</ds:datastoreItem>
</file>

<file path=customXml/itemProps3.xml><?xml version="1.0" encoding="utf-8"?>
<ds:datastoreItem xmlns:ds="http://schemas.openxmlformats.org/officeDocument/2006/customXml" ds:itemID="{2081A540-AEF7-4A3F-A0D7-57679682B107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4B1A863-71DD-4F63-89A1-4CD171508574}">
  <ds:schemaRefs/>
</ds:datastoreItem>
</file>

<file path=customXml/itemProps5.xml><?xml version="1.0" encoding="utf-8"?>
<ds:datastoreItem xmlns:ds="http://schemas.openxmlformats.org/officeDocument/2006/customXml" ds:itemID="{ED866CD4-9606-4514-BB89-EFA143B78D34}">
  <ds:schemaRefs/>
</ds:datastoreItem>
</file>

<file path=customXml/itemProps6.xml><?xml version="1.0" encoding="utf-8"?>
<ds:datastoreItem xmlns:ds="http://schemas.openxmlformats.org/officeDocument/2006/customXml" ds:itemID="{D0158A2A-799C-402C-BEE8-71FA5FA2FB1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Customer Retention</vt:lpstr>
      <vt:lpstr>Quarterly Performance</vt:lpstr>
      <vt:lpstr>Pareto Analysis</vt:lpstr>
      <vt:lpstr>Target vs Actual</vt:lpstr>
      <vt:lpstr>Profit Analysis</vt:lpstr>
      <vt:lpstr>Product Matrix</vt:lpstr>
      <vt:lpstr>Category Distribution</vt:lpstr>
      <vt:lpstr>Data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gawde</dc:creator>
  <cp:lastModifiedBy>ganesh gawde</cp:lastModifiedBy>
  <dcterms:created xsi:type="dcterms:W3CDTF">2026-07-08T16:42:36Z</dcterms:created>
  <dcterms:modified xsi:type="dcterms:W3CDTF">2026-07-21T09:40:06Z</dcterms:modified>
</cp:coreProperties>
</file>